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038de7967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46336aac4734217"/>
    <x:sheet xmlns:r="http://schemas.openxmlformats.org/officeDocument/2006/relationships" name="Chart of Accounts" sheetId="2" r:id="Rbb7e09f2f39c4682"/>
    <x:sheet xmlns:r="http://schemas.openxmlformats.org/officeDocument/2006/relationships" name="Bank 01 - HBL Main" sheetId="3" r:id="R63569b85cab343b6"/>
    <x:sheet xmlns:r="http://schemas.openxmlformats.org/officeDocument/2006/relationships" name="Bank 02 - Meezan Payroll" sheetId="4" r:id="R632cd97caa8740b2"/>
    <x:sheet xmlns:r="http://schemas.openxmlformats.org/officeDocument/2006/relationships" name="Bank 03 - UBL Collections" sheetId="5" r:id="Re37ac11a8b6b4357"/>
    <x:sheet xmlns:r="http://schemas.openxmlformats.org/officeDocument/2006/relationships" name="Bank 04 - MCB Reserve" sheetId="6" r:id="Rfd8d2434e53e4f81"/>
    <x:sheet xmlns:r="http://schemas.openxmlformats.org/officeDocument/2006/relationships" name="Bank 05 - HBL North" sheetId="7" r:id="R74aae5bf5c0d45a8"/>
    <x:sheet xmlns:r="http://schemas.openxmlformats.org/officeDocument/2006/relationships" name="Bank 06 - Meezan Corporate" sheetId="8" r:id="Ra7d1a70a20924b26"/>
    <x:sheet xmlns:r="http://schemas.openxmlformats.org/officeDocument/2006/relationships" name="Bank 07 - UBL Operations" sheetId="9" r:id="R1d0dfa8e188c467a"/>
    <x:sheet xmlns:r="http://schemas.openxmlformats.org/officeDocument/2006/relationships" name="Bank 08 - MCB Corporate" sheetId="10" r:id="R9e3374183b14426f"/>
    <x:sheet xmlns:r="http://schemas.openxmlformats.org/officeDocument/2006/relationships" name="Bank 09 - HBL Reserve" sheetId="11" r:id="R87d6e0e63db64b83"/>
    <x:sheet xmlns:r="http://schemas.openxmlformats.org/officeDocument/2006/relationships" name="Bank 10 - HBL Digital" sheetId="12" r:id="Rcf56611974414acb"/>
    <x:sheet xmlns:r="http://schemas.openxmlformats.org/officeDocument/2006/relationships" name="Transaction Mapping" sheetId="13" r:id="Ra6dc4663f3904526"/>
    <x:sheet xmlns:r="http://schemas.openxmlformats.org/officeDocument/2006/relationships" name="Non-Bank Entries" sheetId="14" r:id="R94e3daeadf3648d8"/>
    <x:sheet xmlns:r="http://schemas.openxmlformats.org/officeDocument/2006/relationships" name="Journal Entries" sheetId="15" r:id="Rc86e123f9b19465e"/>
    <x:sheet xmlns:r="http://schemas.openxmlformats.org/officeDocument/2006/relationships" name="General Ledger" sheetId="16" r:id="R83bc5759bea44a70"/>
    <x:sheet xmlns:r="http://schemas.openxmlformats.org/officeDocument/2006/relationships" name="Opening Balances" sheetId="17" r:id="R70d64d24a6a74f41"/>
    <x:sheet xmlns:r="http://schemas.openxmlformats.org/officeDocument/2006/relationships" name="Trial Balance" sheetId="18" r:id="R521b723d77334fe4"/>
    <x:sheet xmlns:r="http://schemas.openxmlformats.org/officeDocument/2006/relationships" name="Balance Sheet" sheetId="19" r:id="Rc77e703572b64461"/>
    <x:sheet xmlns:r="http://schemas.openxmlformats.org/officeDocument/2006/relationships" name="Profit and Loss" sheetId="20" r:id="R1028bd77638e47ee"/>
    <x:sheet xmlns:r="http://schemas.openxmlformats.org/officeDocument/2006/relationships" name="Cash Flow Statement" sheetId="21" r:id="Rc1efc4745546462a"/>
    <x:sheet xmlns:r="http://schemas.openxmlformats.org/officeDocument/2006/relationships" name="Bank Reconciliation" sheetId="22" r:id="Rbf4988710e0640b0"/>
    <x:sheet xmlns:r="http://schemas.openxmlformats.org/officeDocument/2006/relationships" name="Checks" sheetId="23" r:id="R1085d73411644a4c"/>
    <x:sheet xmlns:r="http://schemas.openxmlformats.org/officeDocument/2006/relationships" name="FS Tag Registry" sheetId="24" r:id="R157749f9fd2b4b76"/>
    <x:sheet xmlns:r="http://schemas.openxmlformats.org/officeDocument/2006/relationships" name="TIN PNL" sheetId="25" r:id="R2cc335a1a3634d08"/>
    <x:sheet xmlns:r="http://schemas.openxmlformats.org/officeDocument/2006/relationships" name="BS Group" sheetId="26" r:id="R9c19a63978b64de1"/>
    <x:sheet xmlns:r="http://schemas.openxmlformats.org/officeDocument/2006/relationships" name="Cashflow Group" sheetId="27" r:id="Rd44bb51e97bb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-"/>
    <x:numFmt numFmtId="201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E7E6E6"/>
      </x:right>
      <x:top style="thin">
        <x:color rgb="FFD9E2F3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E7E6E6"/>
      </x:bottom>
    </x:border>
    <x:border>
      <x:left style="thin">
        <x:color rgb="FFE7E6E6"/>
      </x:left>
      <x:right style="thin">
        <x:color rgb="FFD9E2F3"/>
      </x:right>
      <x:top style="thin">
        <x:color rgb="FFD9E2F3"/>
      </x:top>
      <x:bottom style="thin">
        <x:color rgb="FFE7E6E6"/>
      </x:bottom>
    </x:border>
    <x:border>
      <x:left style="thin">
        <x:color rgb="FFD9E2F3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E7E6E6"/>
      </x:right>
      <x:top style="thin">
        <x:color rgb="FFE7E6E6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D9E2F3"/>
      </x:bottom>
    </x:border>
    <x:border>
      <x:left style="thin">
        <x:color rgb="FFE7E6E6"/>
      </x:left>
      <x:right style="thin">
        <x:color rgb="FFD9E2F3"/>
      </x:right>
      <x:top style="thin">
        <x:color rgb="FFE7E6E6"/>
      </x:top>
      <x:bottom style="thin">
        <x:color rgb="FFD9E2F3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5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1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4" fillId="3" borderId="1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200" fontId="4" fillId="3" borderId="6" xfId="0" applyNumberFormat="1" applyFont="1" applyFill="1" applyBorder="1"/>
    <x:xf numFmtId="200" fontId="4" fillId="3" borderId="9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200" fontId="4" fillId="4" borderId="7" xfId="0" applyNumberFormat="1" applyFont="1" applyFill="1" applyBorder="1"/>
    <x:xf numFmtId="200" fontId="4" fillId="4" borderId="10" xfId="0" applyNumberFormat="1" applyFont="1" applyFill="1" applyBorder="1"/>
    <x:xf numFmtId="0" fontId="4" fillId="3" borderId="7" xfId="0" applyNumberFormat="1" applyFont="1" applyFill="1" applyBorder="1"/>
    <x:xf numFmtId="0" fontId="4" fillId="3" borderId="10" xfId="0" applyNumberFormat="1" applyFont="1" applyFill="1" applyBorder="1"/>
    <x:xf numFmtId="200" fontId="4" fillId="3" borderId="7" xfId="0" applyNumberFormat="1" applyFont="1" applyFill="1" applyBorder="1"/>
    <x:xf numFmtId="200" fontId="4" fillId="3" borderId="10" xfId="0" applyNumberFormat="1" applyFont="1" applyFill="1" applyBorder="1"/>
    <x:xf numFmtId="0" fontId="0" fillId="3" borderId="5" xfId="0" applyNumberFormat="1" applyFont="1" applyFill="1" applyBorder="1"/>
    <x:xf numFmtId="200" fontId="0" fillId="3" borderId="6" xfId="0" applyNumberFormat="1" applyFont="1" applyFill="1" applyBorder="1"/>
    <x:xf numFmtId="200" fontId="0" fillId="3" borderId="7" xfId="0" applyNumberFormat="1" applyFont="1" applyFill="1" applyBorder="1"/>
    <x:xf numFmtId="0" fontId="0" fillId="4" borderId="5" xfId="0" applyNumberFormat="1" applyFont="1" applyFill="1" applyBorder="1"/>
    <x:xf numFmtId="200" fontId="0" fillId="4" borderId="6" xfId="0" applyNumberFormat="1" applyFont="1" applyFill="1" applyBorder="1"/>
    <x:xf numFmtId="200" fontId="0" fillId="4" borderId="7" xfId="0" applyNumberFormat="1" applyFont="1" applyFill="1" applyBorder="1"/>
    <x:xf numFmtId="200" fontId="4" fillId="4" borderId="6" xfId="0" applyNumberFormat="1" applyFont="1" applyFill="1" applyBorder="1"/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0" fillId="3" borderId="8" xfId="0" applyNumberFormat="1" applyFont="1" applyFill="1" applyBorder="1"/>
    <x:xf numFmtId="200" fontId="0" fillId="3" borderId="9" xfId="0" applyNumberFormat="1" applyFont="1" applyFill="1" applyBorder="1"/>
    <x:xf numFmtId="200" fontId="0" fillId="3" borderId="10" xfId="0" applyNumberFormat="1" applyFont="1" applyFill="1" applyBorder="1"/>
    <x:xf numFmtId="200" fontId="4" fillId="4" borderId="9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2e3cbb33d4f50" /><Relationship Type="http://schemas.openxmlformats.org/officeDocument/2006/relationships/theme" Target="/xl/theme/theme1.xml" Id="R76fb028c7cb34c5f" /><Relationship Type="http://schemas.openxmlformats.org/officeDocument/2006/relationships/sharedStrings" Target="/xl/sharedStrings.xml" Id="R647cb124fd714fcf" /><Relationship Type="http://schemas.openxmlformats.org/officeDocument/2006/relationships/worksheet" Target="/xl/worksheets/sheet1.xml" Id="R046336aac4734217" /><Relationship Type="http://schemas.openxmlformats.org/officeDocument/2006/relationships/worksheet" Target="/xl/worksheets/sheet2.xml" Id="Rbb7e09f2f39c4682" /><Relationship Type="http://schemas.openxmlformats.org/officeDocument/2006/relationships/worksheet" Target="/xl/worksheets/sheet3.xml" Id="R63569b85cab343b6" /><Relationship Type="http://schemas.openxmlformats.org/officeDocument/2006/relationships/worksheet" Target="/xl/worksheets/sheet4.xml" Id="R632cd97caa8740b2" /><Relationship Type="http://schemas.openxmlformats.org/officeDocument/2006/relationships/worksheet" Target="/xl/worksheets/sheet5.xml" Id="Re37ac11a8b6b4357" /><Relationship Type="http://schemas.openxmlformats.org/officeDocument/2006/relationships/worksheet" Target="/xl/worksheets/sheet6.xml" Id="Rfd8d2434e53e4f81" /><Relationship Type="http://schemas.openxmlformats.org/officeDocument/2006/relationships/worksheet" Target="/xl/worksheets/sheet7.xml" Id="R74aae5bf5c0d45a8" /><Relationship Type="http://schemas.openxmlformats.org/officeDocument/2006/relationships/worksheet" Target="/xl/worksheets/sheet8.xml" Id="Ra7d1a70a20924b26" /><Relationship Type="http://schemas.openxmlformats.org/officeDocument/2006/relationships/worksheet" Target="/xl/worksheets/sheet9.xml" Id="R1d0dfa8e188c467a" /><Relationship Type="http://schemas.openxmlformats.org/officeDocument/2006/relationships/worksheet" Target="/xl/worksheets/sheet10.xml" Id="R9e3374183b14426f" /><Relationship Type="http://schemas.openxmlformats.org/officeDocument/2006/relationships/worksheet" Target="/xl/worksheets/sheet11.xml" Id="R87d6e0e63db64b83" /><Relationship Type="http://schemas.openxmlformats.org/officeDocument/2006/relationships/worksheet" Target="/xl/worksheets/sheet12.xml" Id="Rcf56611974414acb" /><Relationship Type="http://schemas.openxmlformats.org/officeDocument/2006/relationships/worksheet" Target="/xl/worksheets/sheet13.xml" Id="Ra6dc4663f3904526" /><Relationship Type="http://schemas.openxmlformats.org/officeDocument/2006/relationships/worksheet" Target="/xl/worksheets/sheet14.xml" Id="R94e3daeadf3648d8" /><Relationship Type="http://schemas.openxmlformats.org/officeDocument/2006/relationships/worksheet" Target="/xl/worksheets/sheet15.xml" Id="Rc86e123f9b19465e" /><Relationship Type="http://schemas.openxmlformats.org/officeDocument/2006/relationships/worksheet" Target="/xl/worksheets/sheet16.xml" Id="R83bc5759bea44a70" /><Relationship Type="http://schemas.openxmlformats.org/officeDocument/2006/relationships/worksheet" Target="/xl/worksheets/sheet17.xml" Id="R70d64d24a6a74f41" /><Relationship Type="http://schemas.openxmlformats.org/officeDocument/2006/relationships/worksheet" Target="/xl/worksheets/sheet18.xml" Id="R521b723d77334fe4" /><Relationship Type="http://schemas.openxmlformats.org/officeDocument/2006/relationships/worksheet" Target="/xl/worksheets/sheet19.xml" Id="Rc77e703572b64461" /><Relationship Type="http://schemas.openxmlformats.org/officeDocument/2006/relationships/worksheet" Target="/xl/worksheets/sheet20.xml" Id="R1028bd77638e47ee" /><Relationship Type="http://schemas.openxmlformats.org/officeDocument/2006/relationships/worksheet" Target="/xl/worksheets/sheet21.xml" Id="Rc1efc4745546462a" /><Relationship Type="http://schemas.openxmlformats.org/officeDocument/2006/relationships/worksheet" Target="/xl/worksheets/sheet22.xml" Id="Rbf4988710e0640b0" /><Relationship Type="http://schemas.openxmlformats.org/officeDocument/2006/relationships/worksheet" Target="/xl/worksheets/sheet23.xml" Id="R1085d73411644a4c" /><Relationship Type="http://schemas.openxmlformats.org/officeDocument/2006/relationships/worksheet" Target="/xl/worksheets/sheet24.xml" Id="R157749f9fd2b4b76" /><Relationship Type="http://schemas.openxmlformats.org/officeDocument/2006/relationships/worksheet" Target="/xl/worksheets/sheet25.xml" Id="R2cc335a1a3634d08" /><Relationship Type="http://schemas.openxmlformats.org/officeDocument/2006/relationships/worksheet" Target="/xl/worksheets/sheet26.xml" Id="R9c19a63978b64de1" /><Relationship Type="http://schemas.openxmlformats.org/officeDocument/2006/relationships/worksheet" Target="/xl/worksheets/sheet27.xml" Id="Rd44bb51e97bb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26" customHeight="1">
      <x:c r="A1" s="3" t="str">
        <x:v>FY25 Dummy Financial Model — 10 Bank Statements</x:v>
      </x:c>
    </x:row>
    <x:row r="3">
      <x:c r="A3" s="6" t="str">
        <x:v>Purpose</x:v>
      </x:c>
      <x:c r="B3" s="8" t="str">
        <x:v>Formula-linked dummy accounting model based on the supplied Chart of Accounts.</x:v>
      </x:c>
    </x:row>
    <x:row r="4">
      <x:c r="A4" s="6" t="str">
        <x:v>Entity</x:v>
      </x:c>
      <x:c r="B4" s="8" t="str">
        <x:v>TRUCK IT IN PVT LTD</x:v>
      </x:c>
    </x:row>
    <x:row r="5">
      <x:c r="A5" s="6" t="str">
        <x:v>Period</x:v>
      </x:c>
      <x:c r="B5" s="8" t="str">
        <x:v>July 2025</x:v>
      </x:c>
    </x:row>
    <x:row r="6">
      <x:c r="A6" s="6" t="str">
        <x:v>Currency</x:v>
      </x:c>
      <x:c r="B6" s="8" t="str">
        <x:v>PKR</x:v>
      </x:c>
    </x:row>
    <x:row r="7">
      <x:c r="A7" s="6" t="str">
        <x:v>Bank statements</x:v>
      </x:c>
      <x:c r="B7" s="8" t="str">
        <x:v>10 dummy statements</x:v>
      </x:c>
    </x:row>
    <x:row r="8">
      <x:c r="A8" s="6" t="str">
        <x:v>Chart of Accounts</x:v>
      </x:c>
      <x:c r="B8" s="8" t="str">
        <x:v>Source preserved exactly as uploaded</x:v>
      </x:c>
    </x:row>
    <x:row r="9">
      <x:c r="A9" s="6" t="str">
        <x:v>FS tags</x:v>
      </x:c>
      <x:c r="B9" s="8" t="str">
        <x:v>Exact approved names and FS codes</x:v>
      </x:c>
    </x:row>
    <x:row r="10">
      <x:c r="A10" s="6" t="str">
        <x:v>Model status</x:v>
      </x:c>
      <x:c r="B10" s="8" t="str">
        <x:v>See Checks sheet</x:v>
      </x:c>
    </x:row>
    <x:row r="12" ht="26" customHeight="1">
      <x:c r="A12" s="12" t="str">
        <x:v>Flow: 10 Bank Statements → Transaction Mapping → Journal Entries → General Ledger → Trial Balance → Financial Reports.</x:v>
      </x:c>
    </x:row>
    <x:row r="13" ht="26" customHeight="1"/>
    <x:row r="14" ht="26" customHeight="1"/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5" hidden="0" customWidth="1"/>
    <x:col min="5" max="5" width="22" hidden="0" customWidth="1"/>
    <x:col min="6" max="6" width="22" hidden="0" customWidth="1"/>
    <x:col min="7" max="7" width="28" hidden="0" customWidth="1"/>
    <x:col min="8" max="8" width="13" hidden="0" customWidth="1"/>
    <x:col min="9" max="9" width="3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>
      <x:c r="A1" s="28" t="str">
        <x:v>TRUCK IT IN PVT LTD</x:v>
      </x:c>
      <x:c r="B1" s="29" t="str"/>
      <x:c r="C1" s="29" t="str"/>
      <x:c r="D1" s="29" t="str"/>
      <x:c r="E1" s="29" t="str"/>
      <x:c r="F1" s="29" t="str"/>
      <x:c r="G1" s="29" t="str"/>
      <x:c r="H1" s="29" t="str"/>
      <x:c r="I1" s="29" t="str"/>
      <x:c r="J1" t="str"/>
      <x:c r="K1" t="str"/>
      <x:c r="L1" t="str"/>
      <x:c r="M1" t="str"/>
      <x:c r="N1" t="str"/>
      <x:c r="O1" t="str"/>
      <x:c r="P1" t="str"/>
      <x:c r="Q1" t="str"/>
      <x:c r="R1" t="str"/>
    </x:row>
    <x:row r="2">
      <x:c r="A2" t="str">
        <x:v>Chart of Accounts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  <x:row r="3">
      <x:c r="A3" t="str">
        <x:v>FY25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>
        <x:v>Opening</x:v>
      </x:c>
      <x:c r="K4" t="str"/>
      <x:c r="L4" t="str">
        <x:v>Movement</x:v>
      </x:c>
      <x:c r="M4" t="str"/>
      <x:c r="N4" t="str">
        <x:v>Adjustment</x:v>
      </x:c>
      <x:c r="O4" t="str"/>
      <x:c r="P4" t="str">
        <x:v>Closing</x:v>
      </x:c>
      <x:c r="Q4" t="str"/>
      <x:c r="R4" t="str"/>
    </x:row>
    <x:row r="5" ht="34" customHeight="1">
      <x:c r="A5" s="19" t="str">
        <x:v>Nature</x:v>
      </x:c>
      <x:c r="B5" s="20" t="str">
        <x:v>Classification 1</x:v>
      </x:c>
      <x:c r="C5" s="20" t="str">
        <x:v>Classification 2</x:v>
      </x:c>
      <x:c r="D5" s="20" t="str">
        <x:v>Classification 3</x:v>
      </x:c>
      <x:c r="E5" s="20" t="str">
        <x:v>Classification 4</x:v>
      </x:c>
      <x:c r="F5" s="20" t="str">
        <x:v>Classification 5</x:v>
      </x:c>
      <x:c r="G5" s="20" t="str">
        <x:v>Classification 7</x:v>
      </x:c>
      <x:c r="H5" s="20" t="str">
        <x:v>Code</x:v>
      </x:c>
      <x:c r="I5" s="20" t="str">
        <x:v>Title</x:v>
      </x:c>
      <x:c r="J5" s="20" t="str">
        <x:v>Debit</x:v>
      </x:c>
      <x:c r="K5" s="20" t="str">
        <x:v>Credit</x:v>
      </x:c>
      <x:c r="L5" s="20" t="str">
        <x:v>Debit2</x:v>
      </x:c>
      <x:c r="M5" s="20" t="str">
        <x:v>Credit3</x:v>
      </x:c>
      <x:c r="N5" s="20" t="str">
        <x:v>Debit4</x:v>
      </x:c>
      <x:c r="O5" s="20" t="str">
        <x:v>Credit5</x:v>
      </x:c>
      <x:c r="P5" s="20" t="str">
        <x:v>Debit6</x:v>
      </x:c>
      <x:c r="Q5" s="20" t="str">
        <x:v>Credit7</x:v>
      </x:c>
      <x:c r="R5" s="21" t="str"/>
    </x:row>
    <x:row r="6">
      <x:c r="A6" s="22" t="str">
        <x:v>B/S</x:v>
      </x:c>
      <x:c r="B6" s="23" t="str">
        <x:v>Assets</x:v>
      </x:c>
      <x:c r="C6" s="23" t="str">
        <x:v>Non Current Assets</x:v>
      </x:c>
      <x:c r="D6" s="23" t="str">
        <x:v>Property and equipment</x:v>
      </x:c>
      <x:c r="E6" s="23" t="str">
        <x:v>Cost</x:v>
      </x:c>
      <x:c r="F6" s="23" t="str">
        <x:v>Cost</x:v>
      </x:c>
      <x:c r="G6" s="23" t="str">
        <x:v>Furniture and fixture</x:v>
      </x:c>
      <x:c r="H6" s="23" t="str">
        <x:v>1011</x:v>
      </x:c>
      <x:c r="I6" s="23" t="str">
        <x:v>Furniture and fixture</x:v>
      </x:c>
      <x:c r="J6" s="30" t="str"/>
      <x:c r="K6" s="30" t="str"/>
      <x:c r="L6" s="30" t="str"/>
      <x:c r="M6" s="30" t="str"/>
      <x:c r="N6" s="30" t="str"/>
      <x:c r="O6" s="30" t="str"/>
      <x:c r="P6" s="30" t="str">
        <x:v>0</x:v>
      </x:c>
      <x:c r="Q6" s="30" t="str">
        <x:v>0</x:v>
      </x:c>
      <x:c r="R6" s="24" t="str"/>
    </x:row>
    <x:row r="7">
      <x:c r="A7" s="22" t="str">
        <x:v>B/S</x:v>
      </x:c>
      <x:c r="B7" s="23" t="str">
        <x:v>Assets</x:v>
      </x:c>
      <x:c r="C7" s="23" t="str">
        <x:v>Non Current Assets</x:v>
      </x:c>
      <x:c r="D7" s="23" t="str">
        <x:v>Property and equipment</x:v>
      </x:c>
      <x:c r="E7" s="23" t="str">
        <x:v>Cost</x:v>
      </x:c>
      <x:c r="F7" s="23" t="str">
        <x:v>Cost</x:v>
      </x:c>
      <x:c r="G7" s="23" t="str">
        <x:v>Leasehold building</x:v>
      </x:c>
      <x:c r="H7" s="23" t="str">
        <x:v>1012</x:v>
      </x:c>
      <x:c r="I7" s="23" t="str">
        <x:v>Leasehold building</x:v>
      </x:c>
      <x:c r="J7" s="30" t="str"/>
      <x:c r="K7" s="30" t="str"/>
      <x:c r="L7" s="30" t="str"/>
      <x:c r="M7" s="30" t="str"/>
      <x:c r="N7" s="30" t="str"/>
      <x:c r="O7" s="30" t="str"/>
      <x:c r="P7" s="30" t="str">
        <x:v>0</x:v>
      </x:c>
      <x:c r="Q7" s="30" t="str">
        <x:v>0</x:v>
      </x:c>
      <x:c r="R7" s="24" t="str"/>
    </x:row>
    <x:row r="8">
      <x:c r="A8" s="22" t="str">
        <x:v>B/S</x:v>
      </x:c>
      <x:c r="B8" s="23" t="str">
        <x:v>Assets</x:v>
      </x:c>
      <x:c r="C8" s="23" t="str">
        <x:v>Non Current Assets</x:v>
      </x:c>
      <x:c r="D8" s="23" t="str">
        <x:v>Property and equipment</x:v>
      </x:c>
      <x:c r="E8" s="23" t="str">
        <x:v>Cost</x:v>
      </x:c>
      <x:c r="F8" s="23" t="str">
        <x:v>Cost</x:v>
      </x:c>
      <x:c r="G8" s="23" t="str">
        <x:v>Computers</x:v>
      </x:c>
      <x:c r="H8" s="23" t="str">
        <x:v>1013</x:v>
      </x:c>
      <x:c r="I8" s="23" t="str">
        <x:v>Computers</x:v>
      </x:c>
      <x:c r="J8" s="30" t="str"/>
      <x:c r="K8" s="30" t="str"/>
      <x:c r="L8" s="30" t="str"/>
      <x:c r="M8" s="30" t="str"/>
      <x:c r="N8" s="30" t="str"/>
      <x:c r="O8" s="30" t="str"/>
      <x:c r="P8" s="30" t="str">
        <x:v>0</x:v>
      </x:c>
      <x:c r="Q8" s="30" t="str">
        <x:v>0</x:v>
      </x:c>
      <x:c r="R8" s="24" t="str"/>
    </x:row>
    <x:row r="9">
      <x:c r="A9" s="22" t="str">
        <x:v>B/S</x:v>
      </x:c>
      <x:c r="B9" s="23" t="str">
        <x:v>Assets</x:v>
      </x:c>
      <x:c r="C9" s="23" t="str">
        <x:v>Non Current Assets</x:v>
      </x:c>
      <x:c r="D9" s="23" t="str">
        <x:v>Property and equipment</x:v>
      </x:c>
      <x:c r="E9" s="23" t="str">
        <x:v>Cost</x:v>
      </x:c>
      <x:c r="F9" s="23" t="str">
        <x:v>Cost</x:v>
      </x:c>
      <x:c r="G9" s="23" t="str">
        <x:v>Office Equipments</x:v>
      </x:c>
      <x:c r="H9" s="23" t="str">
        <x:v>1014</x:v>
      </x:c>
      <x:c r="I9" s="23" t="str">
        <x:v>Office Equipments</x:v>
      </x:c>
      <x:c r="J9" s="30" t="str"/>
      <x:c r="K9" s="30" t="str"/>
      <x:c r="L9" s="30" t="str"/>
      <x:c r="M9" s="30" t="str"/>
      <x:c r="N9" s="30" t="str"/>
      <x:c r="O9" s="30" t="str"/>
      <x:c r="P9" s="30" t="str">
        <x:v>0</x:v>
      </x:c>
      <x:c r="Q9" s="30" t="str">
        <x:v>0</x:v>
      </x:c>
      <x:c r="R9" s="24" t="str"/>
    </x:row>
    <x:row r="10">
      <x:c r="A10" s="22" t="str">
        <x:v>B/S</x:v>
      </x:c>
      <x:c r="B10" s="23" t="str">
        <x:v>Assets</x:v>
      </x:c>
      <x:c r="C10" s="23" t="str">
        <x:v>Non Current Assets</x:v>
      </x:c>
      <x:c r="D10" s="23" t="str">
        <x:v>Property and equipment</x:v>
      </x:c>
      <x:c r="E10" s="23" t="str">
        <x:v>Cost</x:v>
      </x:c>
      <x:c r="F10" s="23" t="str">
        <x:v>Cost</x:v>
      </x:c>
      <x:c r="G10" s="23" t="str">
        <x:v>Vehicles</x:v>
      </x:c>
      <x:c r="H10" s="23" t="str">
        <x:v>1015</x:v>
      </x:c>
      <x:c r="I10" s="23" t="str">
        <x:v>Vehicles</x:v>
      </x:c>
      <x:c r="J10" s="30" t="str"/>
      <x:c r="K10" s="30" t="str"/>
      <x:c r="L10" s="30" t="str"/>
      <x:c r="M10" s="30" t="str"/>
      <x:c r="N10" s="30" t="str"/>
      <x:c r="O10" s="30" t="str"/>
      <x:c r="P10" s="30" t="str">
        <x:v>0</x:v>
      </x:c>
      <x:c r="Q10" s="30" t="str">
        <x:v>0</x:v>
      </x:c>
      <x:c r="R10" s="24" t="str"/>
    </x:row>
    <x:row r="11">
      <x:c r="A11" s="22" t="str">
        <x:v>B/S</x:v>
      </x:c>
      <x:c r="B11" s="23" t="str">
        <x:v>Assets</x:v>
      </x:c>
      <x:c r="C11" s="23" t="str">
        <x:v>Non Current Assets</x:v>
      </x:c>
      <x:c r="D11" s="23" t="str">
        <x:v>Intanbgible assets</x:v>
      </x:c>
      <x:c r="E11" s="23" t="str">
        <x:v>Cost</x:v>
      </x:c>
      <x:c r="F11" s="23" t="str">
        <x:v>Cost</x:v>
      </x:c>
      <x:c r="G11" s="23" t="str">
        <x:v>Intangible Assets</x:v>
      </x:c>
      <x:c r="H11" s="23" t="str">
        <x:v>1016</x:v>
      </x:c>
      <x:c r="I11" s="23" t="str">
        <x:v>Intangible Assets</x:v>
      </x:c>
      <x:c r="J11" s="30" t="str"/>
      <x:c r="K11" s="30" t="str"/>
      <x:c r="L11" s="30" t="str"/>
      <x:c r="M11" s="30" t="str"/>
      <x:c r="N11" s="30" t="str"/>
      <x:c r="O11" s="30" t="str"/>
      <x:c r="P11" s="30" t="str">
        <x:v>0</x:v>
      </x:c>
      <x:c r="Q11" s="30" t="str">
        <x:v>0</x:v>
      </x:c>
      <x:c r="R11" s="24" t="str"/>
    </x:row>
    <x:row r="12">
      <x:c r="A12" s="22" t="str">
        <x:v>B/S</x:v>
      </x:c>
      <x:c r="B12" s="23" t="str">
        <x:v>Assets</x:v>
      </x:c>
      <x:c r="C12" s="23" t="str">
        <x:v>Non Current Assets</x:v>
      </x:c>
      <x:c r="D12" s="23" t="str">
        <x:v>Property and equipment</x:v>
      </x:c>
      <x:c r="E12" s="23" t="str">
        <x:v>Accumulated Depreciation</x:v>
      </x:c>
      <x:c r="F12" s="23" t="str">
        <x:v>Accumulated Depreciation</x:v>
      </x:c>
      <x:c r="G12" s="23" t="str">
        <x:v>Accumulated depreciation</x:v>
      </x:c>
      <x:c r="H12" s="23" t="str">
        <x:v>1017</x:v>
      </x:c>
      <x:c r="I12" s="23" t="str">
        <x:v>Accumulated depreciation</x:v>
      </x:c>
      <x:c r="J12" s="30" t="str"/>
      <x:c r="K12" s="30" t="str"/>
      <x:c r="L12" s="30" t="str"/>
      <x:c r="M12" s="30" t="str"/>
      <x:c r="N12" s="30" t="str"/>
      <x:c r="O12" s="30" t="str"/>
      <x:c r="P12" s="30" t="str">
        <x:v>0</x:v>
      </x:c>
      <x:c r="Q12" s="30" t="str">
        <x:v>0</x:v>
      </x:c>
      <x:c r="R12" s="24" t="str"/>
    </x:row>
    <x:row r="13">
      <x:c r="A13" s="22" t="str">
        <x:v>B/S</x:v>
      </x:c>
      <x:c r="B13" s="23" t="str">
        <x:v>Assets</x:v>
      </x:c>
      <x:c r="C13" s="23" t="str">
        <x:v>Current Assets</x:v>
      </x:c>
      <x:c r="D13" s="23" t="str">
        <x:v>Trade debts</x:v>
      </x:c>
      <x:c r="E13" s="23" t="str">
        <x:v>unsecured</x:v>
      </x:c>
      <x:c r="F13" s="23" t="str">
        <x:v>Considered good</x:v>
      </x:c>
      <x:c r="G13" s="23" t="str">
        <x:v>Trade Debtors</x:v>
      </x:c>
      <x:c r="H13" s="23" t="str">
        <x:v>1018</x:v>
      </x:c>
      <x:c r="I13" s="23" t="str">
        <x:v>Trade Debtors</x:v>
      </x:c>
      <x:c r="J13" s="30" t="str"/>
      <x:c r="K13" s="30" t="str"/>
      <x:c r="L13" s="30" t="str"/>
      <x:c r="M13" s="30" t="str"/>
      <x:c r="N13" s="30" t="str"/>
      <x:c r="O13" s="30" t="str"/>
      <x:c r="P13" s="30" t="str">
        <x:v>0</x:v>
      </x:c>
      <x:c r="Q13" s="30" t="str">
        <x:v>0</x:v>
      </x:c>
      <x:c r="R13" s="24" t="str"/>
    </x:row>
    <x:row r="14">
      <x:c r="A14" s="22" t="str">
        <x:v>B/S</x:v>
      </x:c>
      <x:c r="B14" s="23" t="str">
        <x:v>Assets</x:v>
      </x:c>
      <x:c r="C14" s="23" t="str">
        <x:v>Current Assets</x:v>
      </x:c>
      <x:c r="D14" s="23" t="str">
        <x:v>Advances, deposits and prepayments</x:v>
      </x:c>
      <x:c r="E14" s="23" t="str">
        <x:v>Advances</x:v>
      </x:c>
      <x:c r="F14" s="23" t="str">
        <x:v>Carriers</x:v>
      </x:c>
      <x:c r="G14" s="23" t="str">
        <x:v>Advance to carriers</x:v>
      </x:c>
      <x:c r="H14" s="23" t="str">
        <x:v>1019</x:v>
      </x:c>
      <x:c r="I14" s="23" t="str">
        <x:v>Advance to carriers</x:v>
      </x:c>
      <x:c r="J14" s="30" t="str"/>
      <x:c r="K14" s="30" t="str"/>
      <x:c r="L14" s="30" t="str"/>
      <x:c r="M14" s="30" t="str"/>
      <x:c r="N14" s="30" t="str"/>
      <x:c r="O14" s="30" t="str"/>
      <x:c r="P14" s="30" t="str">
        <x:v>0</x:v>
      </x:c>
      <x:c r="Q14" s="30" t="str">
        <x:v>0</x:v>
      </x:c>
      <x:c r="R14" s="24" t="str"/>
    </x:row>
    <x:row r="15">
      <x:c r="A15" s="22" t="str">
        <x:v>B/S</x:v>
      </x:c>
      <x:c r="B15" s="23" t="str">
        <x:v>Assets</x:v>
      </x:c>
      <x:c r="C15" s="23" t="str">
        <x:v>Non Current Assets</x:v>
      </x:c>
      <x:c r="D15" s="23" t="str">
        <x:v>Long term advances and deposits</x:v>
      </x:c>
      <x:c r="E15" s="23" t="str">
        <x:v>Advances</x:v>
      </x:c>
      <x:c r="F15" s="23" t="str">
        <x:v>To employees</x:v>
      </x:c>
      <x:c r="G15" s="23" t="str">
        <x:v>Advance to BYOD</x:v>
      </x:c>
      <x:c r="H15" s="23" t="str">
        <x:v>1020</x:v>
      </x:c>
      <x:c r="I15" s="23" t="str">
        <x:v>Advance to BYOD</x:v>
      </x:c>
      <x:c r="J15" s="30" t="str"/>
      <x:c r="K15" s="30" t="str"/>
      <x:c r="L15" s="30" t="str"/>
      <x:c r="M15" s="30" t="str"/>
      <x:c r="N15" s="30" t="str"/>
      <x:c r="O15" s="30" t="str"/>
      <x:c r="P15" s="30" t="str">
        <x:v>0</x:v>
      </x:c>
      <x:c r="Q15" s="30" t="str">
        <x:v>0</x:v>
      </x:c>
      <x:c r="R15" s="24" t="str"/>
    </x:row>
    <x:row r="16">
      <x:c r="A16" s="22" t="str">
        <x:v>B/S</x:v>
      </x:c>
      <x:c r="B16" s="23" t="str">
        <x:v>Assets</x:v>
      </x:c>
      <x:c r="C16" s="23" t="str">
        <x:v>Non Current Assets</x:v>
      </x:c>
      <x:c r="D16" s="23" t="str">
        <x:v>Long term advances and deposits</x:v>
      </x:c>
      <x:c r="E16" s="23" t="str">
        <x:v>Deposits</x:v>
      </x:c>
      <x:c r="F16" s="23" t="str">
        <x:v>Security deposit office</x:v>
      </x:c>
      <x:c r="G16" s="23" t="str">
        <x:v>Security deposit-Office</x:v>
      </x:c>
      <x:c r="H16" s="23" t="str">
        <x:v>1021</x:v>
      </x:c>
      <x:c r="I16" s="23" t="str">
        <x:v>Security deposit-Office</x:v>
      </x:c>
      <x:c r="J16" s="30" t="str"/>
      <x:c r="K16" s="30" t="str"/>
      <x:c r="L16" s="30" t="str"/>
      <x:c r="M16" s="30" t="str"/>
      <x:c r="N16" s="30" t="str"/>
      <x:c r="O16" s="30" t="str"/>
      <x:c r="P16" s="30" t="str">
        <x:v>0</x:v>
      </x:c>
      <x:c r="Q16" s="30" t="str">
        <x:v>0</x:v>
      </x:c>
      <x:c r="R16" s="24" t="str"/>
    </x:row>
    <x:row r="17">
      <x:c r="A17" s="22" t="str">
        <x:v>B/S</x:v>
      </x:c>
      <x:c r="B17" s="23" t="str">
        <x:v>Assets</x:v>
      </x:c>
      <x:c r="C17" s="23" t="str">
        <x:v>Current Assets</x:v>
      </x:c>
      <x:c r="D17" s="23" t="str">
        <x:v>Advances, deposits and prepayments</x:v>
      </x:c>
      <x:c r="E17" s="23" t="str">
        <x:v>Deposits</x:v>
      </x:c>
      <x:c r="F17" s="23" t="str">
        <x:v>Customers</x:v>
      </x:c>
      <x:c r="G17" s="23" t="str">
        <x:v>Security Deposits - Customer</x:v>
      </x:c>
      <x:c r="H17" s="23" t="str">
        <x:v>1022</x:v>
      </x:c>
      <x:c r="I17" s="23" t="str">
        <x:v>Security Deposits - Customer</x:v>
      </x:c>
      <x:c r="J17" s="30" t="str"/>
      <x:c r="K17" s="30" t="str"/>
      <x:c r="L17" s="30" t="str"/>
      <x:c r="M17" s="30" t="str"/>
      <x:c r="N17" s="30" t="str"/>
      <x:c r="O17" s="30" t="str"/>
      <x:c r="P17" s="30" t="str">
        <x:v>0</x:v>
      </x:c>
      <x:c r="Q17" s="30" t="str">
        <x:v>0</x:v>
      </x:c>
      <x:c r="R17" s="24" t="str"/>
    </x:row>
    <x:row r="18">
      <x:c r="A18" s="22" t="str">
        <x:v>B/S</x:v>
      </x:c>
      <x:c r="B18" s="23" t="str">
        <x:v>Assets</x:v>
      </x:c>
      <x:c r="C18" s="23" t="str">
        <x:v>Current Assets</x:v>
      </x:c>
      <x:c r="D18" s="23" t="str">
        <x:v>Advances, deposits and prepayments</x:v>
      </x:c>
      <x:c r="E18" s="23" t="str">
        <x:v>Deposits</x:v>
      </x:c>
      <x:c r="F18" s="23" t="str">
        <x:v>Carriers</x:v>
      </x:c>
      <x:c r="G18" s="23" t="str">
        <x:v>Security deposit - carriers</x:v>
      </x:c>
      <x:c r="H18" s="23" t="str">
        <x:v>1023</x:v>
      </x:c>
      <x:c r="I18" s="23" t="str">
        <x:v>Security deposit - carriers</x:v>
      </x:c>
      <x:c r="J18" s="30" t="str"/>
      <x:c r="K18" s="30" t="str"/>
      <x:c r="L18" s="30" t="str"/>
      <x:c r="M18" s="30" t="str"/>
      <x:c r="N18" s="30" t="str"/>
      <x:c r="O18" s="30" t="str"/>
      <x:c r="P18" s="30" t="str">
        <x:v>0</x:v>
      </x:c>
      <x:c r="Q18" s="30" t="str">
        <x:v>0</x:v>
      </x:c>
      <x:c r="R18" s="24" t="str"/>
    </x:row>
    <x:row r="19">
      <x:c r="A19" s="22" t="str">
        <x:v>B/S</x:v>
      </x:c>
      <x:c r="B19" s="23" t="str">
        <x:v>Assets</x:v>
      </x:c>
      <x:c r="C19" s="23" t="str">
        <x:v>Non Current Assets</x:v>
      </x:c>
      <x:c r="D19" s="23" t="str">
        <x:v>Long term advances and deposits</x:v>
      </x:c>
      <x:c r="E19" s="23" t="str">
        <x:v>Deposits</x:v>
      </x:c>
      <x:c r="F19" s="23" t="str">
        <x:v>Margin against guarantee</x:v>
      </x:c>
      <x:c r="G19" s="23" t="str">
        <x:v>Bank Guarrantee</x:v>
      </x:c>
      <x:c r="H19" s="23" t="str">
        <x:v>1024</x:v>
      </x:c>
      <x:c r="I19" s="23" t="str">
        <x:v>Bank Guarrantee</x:v>
      </x:c>
      <x:c r="J19" s="30" t="str"/>
      <x:c r="K19" s="30" t="str"/>
      <x:c r="L19" s="30" t="str"/>
      <x:c r="M19" s="30" t="str"/>
      <x:c r="N19" s="30" t="str"/>
      <x:c r="O19" s="30" t="str"/>
      <x:c r="P19" s="30" t="str">
        <x:v>0</x:v>
      </x:c>
      <x:c r="Q19" s="30" t="str">
        <x:v>0</x:v>
      </x:c>
      <x:c r="R19" s="24" t="str"/>
    </x:row>
    <x:row r="20">
      <x:c r="A20" s="22" t="str">
        <x:v>B/S</x:v>
      </x:c>
      <x:c r="B20" s="23" t="str">
        <x:v>Assets</x:v>
      </x:c>
      <x:c r="C20" s="23" t="str">
        <x:v>Current Assets</x:v>
      </x:c>
      <x:c r="D20" s="23" t="str">
        <x:v>Advances, deposits and prepayments</x:v>
      </x:c>
      <x:c r="E20" s="23" t="str">
        <x:v>Advances</x:v>
      </x:c>
      <x:c r="F20" s="23" t="str">
        <x:v>Advance to Employees</x:v>
      </x:c>
      <x:c r="G20" s="23" t="str">
        <x:v>Advance to Employees</x:v>
      </x:c>
      <x:c r="H20" s="23" t="str">
        <x:v>1025</x:v>
      </x:c>
      <x:c r="I20" s="23" t="str">
        <x:v>Advance to Employees</x:v>
      </x:c>
      <x:c r="J20" s="30" t="str"/>
      <x:c r="K20" s="30" t="str"/>
      <x:c r="L20" s="30" t="str"/>
      <x:c r="M20" s="30" t="str"/>
      <x:c r="N20" s="30" t="str"/>
      <x:c r="O20" s="30" t="str"/>
      <x:c r="P20" s="30" t="str">
        <x:v>0</x:v>
      </x:c>
      <x:c r="Q20" s="30" t="str">
        <x:v>0</x:v>
      </x:c>
      <x:c r="R20" s="24" t="str"/>
    </x:row>
    <x:row r="21">
      <x:c r="A21" s="22" t="str">
        <x:v>B/S</x:v>
      </x:c>
      <x:c r="B21" s="23" t="str">
        <x:v>Assets</x:v>
      </x:c>
      <x:c r="C21" s="23" t="str">
        <x:v>Current Assets</x:v>
      </x:c>
      <x:c r="D21" s="23" t="str">
        <x:v>Advances, deposits and prepayments</x:v>
      </x:c>
      <x:c r="E21" s="23" t="str">
        <x:v>Prepayments</x:v>
      </x:c>
      <x:c r="F21" s="23" t="str">
        <x:v>Prepayments</x:v>
      </x:c>
      <x:c r="G21" s="23" t="str">
        <x:v>Prepayments</x:v>
      </x:c>
      <x:c r="H21" s="23" t="str">
        <x:v>1026</x:v>
      </x:c>
      <x:c r="I21" s="23" t="str">
        <x:v>Prepayments</x:v>
      </x:c>
      <x:c r="J21" s="30" t="str"/>
      <x:c r="K21" s="30" t="str"/>
      <x:c r="L21" s="30" t="str"/>
      <x:c r="M21" s="30" t="str"/>
      <x:c r="N21" s="30" t="str"/>
      <x:c r="O21" s="30" t="str"/>
      <x:c r="P21" s="30" t="str">
        <x:v>0</x:v>
      </x:c>
      <x:c r="Q21" s="30" t="str">
        <x:v>0</x:v>
      </x:c>
      <x:c r="R21" s="24" t="str"/>
    </x:row>
    <x:row r="22">
      <x:c r="A22" s="22" t="str">
        <x:v>B/S</x:v>
      </x:c>
      <x:c r="B22" s="23" t="str">
        <x:v>Libailities</x:v>
      </x:c>
      <x:c r="C22" s="23" t="str">
        <x:v>Current Liabilities</x:v>
      </x:c>
      <x:c r="D22" s="23" t="str">
        <x:v>Accrued and other liabilities</x:v>
      </x:c>
      <x:c r="E22" s="23" t="str">
        <x:v>Sales tax payable</x:v>
      </x:c>
      <x:c r="F22" s="23" t="str">
        <x:v>Sales tax payable</x:v>
      </x:c>
      <x:c r="G22" s="23" t="str">
        <x:v>Input sales tax</x:v>
      </x:c>
      <x:c r="H22" s="23" t="str">
        <x:v>1027</x:v>
      </x:c>
      <x:c r="I22" s="23" t="str">
        <x:v>Input sales tax</x:v>
      </x:c>
      <x:c r="J22" s="30" t="str"/>
      <x:c r="K22" s="30" t="str"/>
      <x:c r="L22" s="30" t="str"/>
      <x:c r="M22" s="30" t="str"/>
      <x:c r="N22" s="30" t="str"/>
      <x:c r="O22" s="30" t="str"/>
      <x:c r="P22" s="30" t="str">
        <x:v>0</x:v>
      </x:c>
      <x:c r="Q22" s="30" t="str">
        <x:v>0</x:v>
      </x:c>
      <x:c r="R22" s="24" t="str"/>
    </x:row>
    <x:row r="23">
      <x:c r="A23" s="22" t="str">
        <x:v>B/S</x:v>
      </x:c>
      <x:c r="B23" s="23" t="str">
        <x:v>Assets</x:v>
      </x:c>
      <x:c r="C23" s="23" t="str">
        <x:v>Current Assets</x:v>
      </x:c>
      <x:c r="D23" s="23" t="str">
        <x:v>Cash &amp; Bank Balances</x:v>
      </x:c>
      <x:c r="E23" s="23" t="str">
        <x:v>Cash at bank</x:v>
      </x:c>
      <x:c r="F23" s="23" t="str">
        <x:v>Current accounts</x:v>
      </x:c>
      <x:c r="G23" s="23" t="str">
        <x:v>PK49DUIB0000000627075001</x:v>
      </x:c>
      <x:c r="H23" s="23" t="str">
        <x:v>1028</x:v>
      </x:c>
      <x:c r="I23" s="23" t="str">
        <x:v>PK49DUIB0000000627075001</x:v>
      </x:c>
      <x:c r="J23" s="30" t="str"/>
      <x:c r="K23" s="30" t="str"/>
      <x:c r="L23" s="30" t="str"/>
      <x:c r="M23" s="30" t="str"/>
      <x:c r="N23" s="30" t="str"/>
      <x:c r="O23" s="30" t="str"/>
      <x:c r="P23" s="30" t="str">
        <x:v>0</x:v>
      </x:c>
      <x:c r="Q23" s="30" t="str">
        <x:v>0</x:v>
      </x:c>
      <x:c r="R23" s="24" t="str"/>
    </x:row>
    <x:row r="24">
      <x:c r="A24" s="22" t="str">
        <x:v>B/S</x:v>
      </x:c>
      <x:c r="B24" s="23" t="str">
        <x:v>Assets</x:v>
      </x:c>
      <x:c r="C24" s="23" t="str">
        <x:v>Current Assets</x:v>
      </x:c>
      <x:c r="D24" s="23" t="str">
        <x:v>Cash &amp; Bank Balances</x:v>
      </x:c>
      <x:c r="E24" s="23" t="str">
        <x:v>Cash at bank</x:v>
      </x:c>
      <x:c r="F24" s="23" t="str">
        <x:v>Current accounts</x:v>
      </x:c>
      <x:c r="G24" s="23" t="str">
        <x:v>PK55HABB0022827200508103</x:v>
      </x:c>
      <x:c r="H24" s="23" t="str">
        <x:v>1029</x:v>
      </x:c>
      <x:c r="I24" s="23" t="str">
        <x:v>PK55HABB0022827200508103</x:v>
      </x:c>
      <x:c r="J24" s="30" t="str"/>
      <x:c r="K24" s="30" t="str"/>
      <x:c r="L24" s="30" t="str"/>
      <x:c r="M24" s="30" t="str"/>
      <x:c r="N24" s="30" t="str"/>
      <x:c r="O24" s="30" t="str"/>
      <x:c r="P24" s="30" t="str">
        <x:v>0</x:v>
      </x:c>
      <x:c r="Q24" s="30" t="str">
        <x:v>0</x:v>
      </x:c>
      <x:c r="R24" s="24" t="str"/>
    </x:row>
    <x:row r="25">
      <x:c r="A25" s="22" t="str">
        <x:v>B/S</x:v>
      </x:c>
      <x:c r="B25" s="23" t="str">
        <x:v>Assets</x:v>
      </x:c>
      <x:c r="C25" s="23" t="str">
        <x:v>Current Assets</x:v>
      </x:c>
      <x:c r="D25" s="23" t="str">
        <x:v>Cash &amp; Bank Balances</x:v>
      </x:c>
      <x:c r="E25" s="23" t="str">
        <x:v>Cash at bank</x:v>
      </x:c>
      <x:c r="F25" s="23" t="str">
        <x:v>Savings account</x:v>
      </x:c>
      <x:c r="G25" s="23" t="str">
        <x:v>PK24MEZN0001110107095251</x:v>
      </x:c>
      <x:c r="H25" s="23" t="str">
        <x:v>1030</x:v>
      </x:c>
      <x:c r="I25" s="23" t="str">
        <x:v>PK24MEZN0001110107095251</x:v>
      </x:c>
      <x:c r="J25" s="30" t="str"/>
      <x:c r="K25" s="30" t="str"/>
      <x:c r="L25" s="30" t="str"/>
      <x:c r="M25" s="30" t="str"/>
      <x:c r="N25" s="30" t="str"/>
      <x:c r="O25" s="30" t="str"/>
      <x:c r="P25" s="30" t="str">
        <x:v>0</x:v>
      </x:c>
      <x:c r="Q25" s="30" t="str">
        <x:v>0</x:v>
      </x:c>
      <x:c r="R25" s="24" t="str"/>
    </x:row>
    <x:row r="26">
      <x:c r="A26" s="22" t="str">
        <x:v>B/S</x:v>
      </x:c>
      <x:c r="B26" s="23" t="str">
        <x:v>Assets</x:v>
      </x:c>
      <x:c r="C26" s="23" t="str">
        <x:v>Current Assets</x:v>
      </x:c>
      <x:c r="D26" s="23" t="str">
        <x:v>Cash &amp; Bank Balances</x:v>
      </x:c>
      <x:c r="E26" s="23" t="str">
        <x:v>Cash at bank</x:v>
      </x:c>
      <x:c r="F26" s="23" t="str">
        <x:v>Current accounts</x:v>
      </x:c>
      <x:c r="G26" s="23" t="str">
        <x:v>PK75MPBL0124067140164610</x:v>
      </x:c>
      <x:c r="H26" s="23" t="str">
        <x:v>1031</x:v>
      </x:c>
      <x:c r="I26" s="23" t="str">
        <x:v>PK75MPBL0124067140164610</x:v>
      </x:c>
      <x:c r="J26" s="30" t="str"/>
      <x:c r="K26" s="30" t="str"/>
      <x:c r="L26" s="30" t="str"/>
      <x:c r="M26" s="30" t="str"/>
      <x:c r="N26" s="30" t="str"/>
      <x:c r="O26" s="30" t="str"/>
      <x:c r="P26" s="30" t="str">
        <x:v>0</x:v>
      </x:c>
      <x:c r="Q26" s="30" t="str">
        <x:v>0</x:v>
      </x:c>
      <x:c r="R26" s="24" t="str"/>
    </x:row>
    <x:row r="27">
      <x:c r="A27" s="22" t="str">
        <x:v>B/S</x:v>
      </x:c>
      <x:c r="B27" s="23" t="str">
        <x:v>Libailities</x:v>
      </x:c>
      <x:c r="C27" s="23" t="str">
        <x:v>Current Liabilities</x:v>
      </x:c>
      <x:c r="D27" s="23" t="str">
        <x:v>Accrued and other liabilities</x:v>
      </x:c>
      <x:c r="E27" s="23" t="str">
        <x:v>Sales tax payable</x:v>
      </x:c>
      <x:c r="F27" s="23" t="str">
        <x:v>Sales tax payable</x:v>
      </x:c>
      <x:c r="G27" s="23" t="str">
        <x:v>Sales Tax Payable</x:v>
      </x:c>
      <x:c r="H27" s="23" t="str">
        <x:v>1032</x:v>
      </x:c>
      <x:c r="I27" s="23" t="str">
        <x:v>Sales Tax Payable</x:v>
      </x:c>
      <x:c r="J27" s="30" t="str"/>
      <x:c r="K27" s="30" t="str"/>
      <x:c r="L27" s="30" t="str"/>
      <x:c r="M27" s="30" t="str"/>
      <x:c r="N27" s="30" t="str"/>
      <x:c r="O27" s="30" t="str"/>
      <x:c r="P27" s="30" t="str">
        <x:v>0</x:v>
      </x:c>
      <x:c r="Q27" s="30" t="str">
        <x:v>0</x:v>
      </x:c>
      <x:c r="R27" s="24" t="str"/>
    </x:row>
    <x:row r="28">
      <x:c r="A28" s="22" t="str">
        <x:v>B/S</x:v>
      </x:c>
      <x:c r="B28" s="23" t="str">
        <x:v>Libailities</x:v>
      </x:c>
      <x:c r="C28" s="23" t="str">
        <x:v>Current Liabilities</x:v>
      </x:c>
      <x:c r="D28" s="23" t="str">
        <x:v>Accrued and other liabilities</x:v>
      </x:c>
      <x:c r="E28" s="23" t="str">
        <x:v>Other liabilities</x:v>
      </x:c>
      <x:c r="F28" s="23" t="str">
        <x:v>Other liabilities</x:v>
      </x:c>
      <x:c r="G28" s="23" t="str">
        <x:v>Contract liability</x:v>
      </x:c>
      <x:c r="H28" s="23" t="str">
        <x:v>1033</x:v>
      </x:c>
      <x:c r="I28" s="23" t="str">
        <x:v>Contract liability</x:v>
      </x:c>
      <x:c r="J28" s="30" t="str"/>
      <x:c r="K28" s="30" t="str"/>
      <x:c r="L28" s="30" t="str"/>
      <x:c r="M28" s="30" t="str"/>
      <x:c r="N28" s="30" t="str"/>
      <x:c r="O28" s="30" t="str"/>
      <x:c r="P28" s="30" t="str">
        <x:v>0</x:v>
      </x:c>
      <x:c r="Q28" s="30" t="str">
        <x:v>0</x:v>
      </x:c>
      <x:c r="R28" s="24" t="str"/>
    </x:row>
    <x:row r="29">
      <x:c r="A29" s="22" t="str">
        <x:v>B/S</x:v>
      </x:c>
      <x:c r="B29" s="23" t="str">
        <x:v>Libailities</x:v>
      </x:c>
      <x:c r="C29" s="23" t="str">
        <x:v>Current Liabilities</x:v>
      </x:c>
      <x:c r="D29" s="23" t="str">
        <x:v>Accrued and other liabilities</x:v>
      </x:c>
      <x:c r="E29" s="23" t="str">
        <x:v>Accrued expenses</x:v>
      </x:c>
      <x:c r="F29" s="23" t="str">
        <x:v>Accrued expenses</x:v>
      </x:c>
      <x:c r="G29" s="23" t="str">
        <x:v>Accrued payroll</x:v>
      </x:c>
      <x:c r="H29" s="23" t="str">
        <x:v>1034</x:v>
      </x:c>
      <x:c r="I29" s="23" t="str">
        <x:v>Accrued payroll</x:v>
      </x:c>
      <x:c r="J29" s="30" t="str"/>
      <x:c r="K29" s="30" t="str"/>
      <x:c r="L29" s="30" t="str"/>
      <x:c r="M29" s="30" t="str"/>
      <x:c r="N29" s="30" t="str"/>
      <x:c r="O29" s="30" t="str"/>
      <x:c r="P29" s="30" t="str">
        <x:v>0</x:v>
      </x:c>
      <x:c r="Q29" s="30" t="str">
        <x:v>0</x:v>
      </x:c>
      <x:c r="R29" s="24" t="str"/>
    </x:row>
    <x:row r="30">
      <x:c r="A30" s="22" t="str">
        <x:v>B/S</x:v>
      </x:c>
      <x:c r="B30" s="23" t="str">
        <x:v>Libailities</x:v>
      </x:c>
      <x:c r="C30" s="23" t="str">
        <x:v>Current Liabilities</x:v>
      </x:c>
      <x:c r="D30" s="23" t="str">
        <x:v>Accrued and other liabilities</x:v>
      </x:c>
      <x:c r="E30" s="23" t="str">
        <x:v>Accrued expenses</x:v>
      </x:c>
      <x:c r="F30" s="23" t="str">
        <x:v>Accrued expenses</x:v>
      </x:c>
      <x:c r="G30" s="23" t="str">
        <x:v>Accrued expenses</x:v>
      </x:c>
      <x:c r="H30" s="23" t="str">
        <x:v>1035</x:v>
      </x:c>
      <x:c r="I30" s="23" t="str">
        <x:v>Accrued expenses</x:v>
      </x:c>
      <x:c r="J30" s="30" t="str"/>
      <x:c r="K30" s="30" t="str"/>
      <x:c r="L30" s="30" t="str"/>
      <x:c r="M30" s="30" t="str"/>
      <x:c r="N30" s="30" t="str"/>
      <x:c r="O30" s="30" t="str"/>
      <x:c r="P30" s="30" t="str">
        <x:v>0</x:v>
      </x:c>
      <x:c r="Q30" s="30" t="str">
        <x:v>0</x:v>
      </x:c>
      <x:c r="R30" s="24" t="str"/>
    </x:row>
    <x:row r="31">
      <x:c r="A31" s="22" t="str">
        <x:v>B/S</x:v>
      </x:c>
      <x:c r="B31" s="23" t="str">
        <x:v>Libailities</x:v>
      </x:c>
      <x:c r="C31" s="23" t="str">
        <x:v>Current Liabilities</x:v>
      </x:c>
      <x:c r="D31" s="23" t="str">
        <x:v>Accrued and other liabilities</x:v>
      </x:c>
      <x:c r="E31" s="23" t="str">
        <x:v>Withholding income tax payable</x:v>
      </x:c>
      <x:c r="F31" s="23" t="str">
        <x:v>Withholding income tax payable</x:v>
      </x:c>
      <x:c r="G31" s="23" t="str">
        <x:v>Withholding tax payable:Withholding tax - Vendors</x:v>
      </x:c>
      <x:c r="H31" s="23" t="str">
        <x:v>1036</x:v>
      </x:c>
      <x:c r="I31" s="23" t="str">
        <x:v>Withholding tax payable:Withholding tax - Vendors</x:v>
      </x:c>
      <x:c r="J31" s="30" t="str"/>
      <x:c r="K31" s="30" t="str"/>
      <x:c r="L31" s="30" t="str"/>
      <x:c r="M31" s="30" t="str"/>
      <x:c r="N31" s="30" t="str"/>
      <x:c r="O31" s="30" t="str"/>
      <x:c r="P31" s="30" t="str">
        <x:v>0</x:v>
      </x:c>
      <x:c r="Q31" s="30" t="str">
        <x:v>0</x:v>
      </x:c>
      <x:c r="R31" s="24" t="str"/>
    </x:row>
    <x:row r="32">
      <x:c r="A32" s="22" t="str">
        <x:v>B/S</x:v>
      </x:c>
      <x:c r="B32" s="23" t="str">
        <x:v>Equity</x:v>
      </x:c>
      <x:c r="C32" s="23" t="str">
        <x:v>Advance against issuance of shares</x:v>
      </x:c>
      <x:c r="D32" s="23" t="str">
        <x:v>Advance against issuance of shares</x:v>
      </x:c>
      <x:c r="E32" s="23" t="str">
        <x:v>Advance against issuance of shares</x:v>
      </x:c>
      <x:c r="F32" s="23" t="str">
        <x:v>Advance against issuance of shares</x:v>
      </x:c>
      <x:c r="G32" s="23" t="str">
        <x:v>Advance against issue of shares</x:v>
      </x:c>
      <x:c r="H32" s="23" t="str">
        <x:v>1037</x:v>
      </x:c>
      <x:c r="I32" s="23" t="str">
        <x:v>Advance against issue of shares</x:v>
      </x:c>
      <x:c r="J32" s="30" t="str"/>
      <x:c r="K32" s="30" t="str"/>
      <x:c r="L32" s="30" t="str"/>
      <x:c r="M32" s="30" t="str"/>
      <x:c r="N32" s="30" t="str"/>
      <x:c r="O32" s="30" t="str"/>
      <x:c r="P32" s="30" t="str">
        <x:v>0</x:v>
      </x:c>
      <x:c r="Q32" s="30" t="str">
        <x:v>0</x:v>
      </x:c>
      <x:c r="R32" s="24" t="str"/>
    </x:row>
    <x:row r="33">
      <x:c r="A33" s="22" t="str">
        <x:v>B/S</x:v>
      </x:c>
      <x:c r="B33" s="23" t="str">
        <x:v>Equity</x:v>
      </x:c>
      <x:c r="C33" s="23" t="str">
        <x:v>Share capital and reserves</x:v>
      </x:c>
      <x:c r="D33" s="23" t="str">
        <x:v>Reserves</x:v>
      </x:c>
      <x:c r="E33" s="23" t="str">
        <x:v>Accumulated losses</x:v>
      </x:c>
      <x:c r="F33" s="23" t="str">
        <x:v>Accumulated losses</x:v>
      </x:c>
      <x:c r="G33" s="23" t="str">
        <x:v>Retained Earnings</x:v>
      </x:c>
      <x:c r="H33" s="23" t="str">
        <x:v>1038</x:v>
      </x:c>
      <x:c r="I33" s="23" t="str">
        <x:v>Retained Earnings</x:v>
      </x:c>
      <x:c r="J33" s="30" t="str"/>
      <x:c r="K33" s="30" t="str"/>
      <x:c r="L33" s="30" t="str"/>
      <x:c r="M33" s="30" t="str"/>
      <x:c r="N33" s="30" t="str"/>
      <x:c r="O33" s="30" t="str"/>
      <x:c r="P33" s="30" t="str">
        <x:v>0</x:v>
      </x:c>
      <x:c r="Q33" s="30" t="str">
        <x:v>0</x:v>
      </x:c>
      <x:c r="R33" s="24" t="str"/>
    </x:row>
    <x:row r="34">
      <x:c r="A34" s="22" t="str">
        <x:v>B/S</x:v>
      </x:c>
      <x:c r="B34" s="23" t="str">
        <x:v>Equity</x:v>
      </x:c>
      <x:c r="C34" s="23" t="str">
        <x:v>Share capital and reserves</x:v>
      </x:c>
      <x:c r="D34" s="23" t="str">
        <x:v>Reserves</x:v>
      </x:c>
      <x:c r="E34" s="23" t="str">
        <x:v>Share premium</x:v>
      </x:c>
      <x:c r="F34" s="23" t="str">
        <x:v>Share premium</x:v>
      </x:c>
      <x:c r="G34" s="23" t="str">
        <x:v>Share premium</x:v>
      </x:c>
      <x:c r="H34" s="23" t="str">
        <x:v>1039</x:v>
      </x:c>
      <x:c r="I34" s="23" t="str">
        <x:v>Share premium</x:v>
      </x:c>
      <x:c r="J34" s="30" t="str"/>
      <x:c r="K34" s="30" t="str"/>
      <x:c r="L34" s="30" t="str"/>
      <x:c r="M34" s="30" t="str"/>
      <x:c r="N34" s="30" t="str"/>
      <x:c r="O34" s="30" t="str"/>
      <x:c r="P34" s="30" t="str">
        <x:v>0</x:v>
      </x:c>
      <x:c r="Q34" s="30" t="str">
        <x:v>0</x:v>
      </x:c>
      <x:c r="R34" s="24" t="str"/>
    </x:row>
    <x:row r="35">
      <x:c r="A35" s="22" t="str">
        <x:v>B/S</x:v>
      </x:c>
      <x:c r="B35" s="23" t="str">
        <x:v>Equity</x:v>
      </x:c>
      <x:c r="C35" s="23" t="str">
        <x:v>Share capital and reserves</x:v>
      </x:c>
      <x:c r="D35" s="23" t="str">
        <x:v>Share capital</x:v>
      </x:c>
      <x:c r="E35" s="23" t="str">
        <x:v>Issued, Subscribed and Paid-up Capital</x:v>
      </x:c>
      <x:c r="F35" s="23" t="str">
        <x:v>Issued, Subscribed and Paid-up Capital</x:v>
      </x:c>
      <x:c r="G35" s="23" t="str">
        <x:v>Share capital</x:v>
      </x:c>
      <x:c r="H35" s="23" t="str">
        <x:v>1040</x:v>
      </x:c>
      <x:c r="I35" s="23" t="str">
        <x:v>Share capital</x:v>
      </x:c>
      <x:c r="J35" s="30" t="str"/>
      <x:c r="K35" s="30" t="str"/>
      <x:c r="L35" s="30" t="str"/>
      <x:c r="M35" s="30" t="str"/>
      <x:c r="N35" s="30" t="str"/>
      <x:c r="O35" s="30" t="str"/>
      <x:c r="P35" s="30" t="str">
        <x:v>0</x:v>
      </x:c>
      <x:c r="Q35" s="30" t="str">
        <x:v>0</x:v>
      </x:c>
      <x:c r="R35" s="24" t="str"/>
    </x:row>
    <x:row r="36">
      <x:c r="A36" s="22" t="str">
        <x:v>B/S</x:v>
      </x:c>
      <x:c r="B36" s="23" t="str">
        <x:v>Libailities</x:v>
      </x:c>
      <x:c r="C36" s="23" t="str">
        <x:v>Current Liabilities</x:v>
      </x:c>
      <x:c r="D36" s="23" t="str">
        <x:v>Accrued and other liabilities</x:v>
      </x:c>
      <x:c r="E36" s="23" t="str">
        <x:v>Accrued expenses</x:v>
      </x:c>
      <x:c r="F36" s="23" t="str">
        <x:v>Accrued expenses</x:v>
      </x:c>
      <x:c r="G36" s="23" t="str">
        <x:v>ABHI</x:v>
      </x:c>
      <x:c r="H36" s="23" t="str">
        <x:v>1041</x:v>
      </x:c>
      <x:c r="I36" s="23" t="str">
        <x:v>ABHI</x:v>
      </x:c>
      <x:c r="J36" s="30" t="str"/>
      <x:c r="K36" s="30" t="str"/>
      <x:c r="L36" s="30" t="str"/>
      <x:c r="M36" s="30" t="str"/>
      <x:c r="N36" s="30" t="str"/>
      <x:c r="O36" s="30" t="str"/>
      <x:c r="P36" s="30" t="str">
        <x:v>0</x:v>
      </x:c>
      <x:c r="Q36" s="30" t="str">
        <x:v>0</x:v>
      </x:c>
      <x:c r="R36" s="24" t="str"/>
    </x:row>
    <x:row r="37">
      <x:c r="A37" s="22" t="str">
        <x:v>B/S</x:v>
      </x:c>
      <x:c r="B37" s="23" t="str">
        <x:v>Libailities</x:v>
      </x:c>
      <x:c r="C37" s="23" t="str">
        <x:v>Current Liabilities</x:v>
      </x:c>
      <x:c r="D37" s="23" t="str">
        <x:v>Accrued and other liabilities</x:v>
      </x:c>
      <x:c r="E37" s="23" t="str">
        <x:v>Accrued expenses</x:v>
      </x:c>
      <x:c r="F37" s="23" t="str">
        <x:v>Accrued expenses</x:v>
      </x:c>
      <x:c r="G37" s="23" t="str">
        <x:v>Audit Fee Payable</x:v>
      </x:c>
      <x:c r="H37" s="23" t="str">
        <x:v>1042</x:v>
      </x:c>
      <x:c r="I37" s="23" t="str">
        <x:v>Audit Fee Payable</x:v>
      </x:c>
      <x:c r="J37" s="30" t="str"/>
      <x:c r="K37" s="30" t="str"/>
      <x:c r="L37" s="30" t="str"/>
      <x:c r="M37" s="30" t="str"/>
      <x:c r="N37" s="30" t="str"/>
      <x:c r="O37" s="30" t="str"/>
      <x:c r="P37" s="30" t="str">
        <x:v>0</x:v>
      </x:c>
      <x:c r="Q37" s="30" t="str">
        <x:v>0</x:v>
      </x:c>
      <x:c r="R37" s="24" t="str"/>
    </x:row>
    <x:row r="38">
      <x:c r="A38" s="22" t="str">
        <x:v>B/S</x:v>
      </x:c>
      <x:c r="B38" s="23" t="str">
        <x:v>Assets</x:v>
      </x:c>
      <x:c r="C38" s="23" t="str">
        <x:v>Current Assets</x:v>
      </x:c>
      <x:c r="D38" s="23" t="str">
        <x:v>Advances, deposits and prepayments</x:v>
      </x:c>
      <x:c r="E38" s="23" t="str">
        <x:v>Prepayments</x:v>
      </x:c>
      <x:c r="F38" s="23" t="str">
        <x:v>Prepayments</x:v>
      </x:c>
      <x:c r="G38" s="23" t="str">
        <x:v>Prepaid Leasehold</x:v>
      </x:c>
      <x:c r="H38" s="23" t="str">
        <x:v>1043</x:v>
      </x:c>
      <x:c r="I38" s="23" t="str">
        <x:v>Prepaid Leasehold</x:v>
      </x:c>
      <x:c r="J38" s="30" t="str"/>
      <x:c r="K38" s="30" t="str"/>
      <x:c r="L38" s="30" t="str"/>
      <x:c r="M38" s="30" t="str"/>
      <x:c r="N38" s="30" t="str"/>
      <x:c r="O38" s="30" t="str"/>
      <x:c r="P38" s="30" t="str">
        <x:v>0</x:v>
      </x:c>
      <x:c r="Q38" s="30" t="str">
        <x:v>0</x:v>
      </x:c>
      <x:c r="R38" s="24" t="str"/>
    </x:row>
    <x:row r="39">
      <x:c r="A39" s="22" t="str">
        <x:v>B/S</x:v>
      </x:c>
      <x:c r="B39" s="23" t="str">
        <x:v>Assets</x:v>
      </x:c>
      <x:c r="C39" s="23" t="str">
        <x:v>Current Assets</x:v>
      </x:c>
      <x:c r="D39" s="23" t="str">
        <x:v>Taxation - net</x:v>
      </x:c>
      <x:c r="E39" s="23" t="str">
        <x:v>Advance tax</x:v>
      </x:c>
      <x:c r="F39" s="23" t="str">
        <x:v>Opening</x:v>
      </x:c>
      <x:c r="G39" s="23" t="str">
        <x:v>Advance tax</x:v>
      </x:c>
      <x:c r="H39" s="23" t="str">
        <x:v>1044</x:v>
      </x:c>
      <x:c r="I39" s="23" t="str">
        <x:v>Advance tax</x:v>
      </x:c>
      <x:c r="J39" s="30" t="str"/>
      <x:c r="K39" s="30" t="str"/>
      <x:c r="L39" s="30" t="str"/>
      <x:c r="M39" s="30" t="str"/>
      <x:c r="N39" s="30" t="str"/>
      <x:c r="O39" s="30" t="str"/>
      <x:c r="P39" s="30" t="str">
        <x:v>0</x:v>
      </x:c>
      <x:c r="Q39" s="30" t="str">
        <x:v>0</x:v>
      </x:c>
      <x:c r="R39" s="24" t="str"/>
    </x:row>
    <x:row r="40">
      <x:c r="A40" s="22" t="str">
        <x:v>B/S</x:v>
      </x:c>
      <x:c r="B40" s="23" t="str">
        <x:v>Assets</x:v>
      </x:c>
      <x:c r="C40" s="23" t="str">
        <x:v>Current Assets</x:v>
      </x:c>
      <x:c r="D40" s="23" t="str">
        <x:v>Taxation - net</x:v>
      </x:c>
      <x:c r="E40" s="23" t="str">
        <x:v>Advance tax</x:v>
      </x:c>
      <x:c r="F40" s="23" t="str">
        <x:v>Deducted</x:v>
      </x:c>
      <x:c r="G40" s="23" t="str">
        <x:v>WHT on Bank Profit</x:v>
      </x:c>
      <x:c r="H40" s="23" t="str">
        <x:v>1045</x:v>
      </x:c>
      <x:c r="I40" s="23" t="str">
        <x:v>WHT on Bank Profit</x:v>
      </x:c>
      <x:c r="J40" s="30" t="str"/>
      <x:c r="K40" s="30" t="str"/>
      <x:c r="L40" s="30" t="str"/>
      <x:c r="M40" s="30" t="str"/>
      <x:c r="N40" s="30" t="str"/>
      <x:c r="O40" s="30" t="str"/>
      <x:c r="P40" s="30" t="str">
        <x:v>0</x:v>
      </x:c>
      <x:c r="Q40" s="30" t="str">
        <x:v>0</x:v>
      </x:c>
      <x:c r="R40" s="24" t="str"/>
    </x:row>
    <x:row r="41">
      <x:c r="A41" s="22" t="str">
        <x:v>B/S</x:v>
      </x:c>
      <x:c r="B41" s="23" t="str">
        <x:v>Assets</x:v>
      </x:c>
      <x:c r="C41" s="23" t="str">
        <x:v>Current Assets</x:v>
      </x:c>
      <x:c r="D41" s="23" t="str">
        <x:v>Taxation - net</x:v>
      </x:c>
      <x:c r="E41" s="23" t="str">
        <x:v>Advance tax</x:v>
      </x:c>
      <x:c r="F41" s="23" t="str">
        <x:v>Paid</x:v>
      </x:c>
      <x:c r="G41" s="23" t="str">
        <x:v>Withholding tax :Withholding tax - Utilities</x:v>
      </x:c>
      <x:c r="H41" s="23" t="str">
        <x:v>1046</x:v>
      </x:c>
      <x:c r="I41" s="23" t="str">
        <x:v>Withholding tax :Withholding tax - Utilities</x:v>
      </x:c>
      <x:c r="J41" s="30" t="str"/>
      <x:c r="K41" s="30" t="str"/>
      <x:c r="L41" s="30" t="str"/>
      <x:c r="M41" s="30" t="str"/>
      <x:c r="N41" s="30" t="str"/>
      <x:c r="O41" s="30" t="str"/>
      <x:c r="P41" s="30" t="str">
        <x:v>0</x:v>
      </x:c>
      <x:c r="Q41" s="30" t="str">
        <x:v>0</x:v>
      </x:c>
      <x:c r="R41" s="24" t="str"/>
    </x:row>
    <x:row r="42">
      <x:c r="A42" s="22" t="str">
        <x:v>B/S</x:v>
      </x:c>
      <x:c r="B42" s="23" t="str">
        <x:v>Assets</x:v>
      </x:c>
      <x:c r="C42" s="23" t="str">
        <x:v>Current Assets</x:v>
      </x:c>
      <x:c r="D42" s="23" t="str">
        <x:v>Taxation - net</x:v>
      </x:c>
      <x:c r="E42" s="23" t="str">
        <x:v>Provision For Taxation</x:v>
      </x:c>
      <x:c r="F42" s="23" t="str">
        <x:v>Provision For Taxation</x:v>
      </x:c>
      <x:c r="G42" s="23" t="str">
        <x:v>Provision for Taxation</x:v>
      </x:c>
      <x:c r="H42" s="23" t="str">
        <x:v>1047</x:v>
      </x:c>
      <x:c r="I42" s="23" t="str">
        <x:v>Provision for Taxation</x:v>
      </x:c>
      <x:c r="J42" s="30" t="str"/>
      <x:c r="K42" s="30" t="str"/>
      <x:c r="L42" s="30" t="str"/>
      <x:c r="M42" s="30" t="str"/>
      <x:c r="N42" s="30" t="str"/>
      <x:c r="O42" s="30" t="str"/>
      <x:c r="P42" s="30" t="str">
        <x:v>0</x:v>
      </x:c>
      <x:c r="Q42" s="30" t="str">
        <x:v>0</x:v>
      </x:c>
      <x:c r="R42" s="24" t="str"/>
    </x:row>
    <x:row r="43">
      <x:c r="A43" s="22" t="str">
        <x:v>P&amp;L</x:v>
      </x:c>
      <x:c r="B43" s="23" t="str">
        <x:v>Expenses</x:v>
      </x:c>
      <x:c r="C43" s="23" t="str">
        <x:v>Taxation</x:v>
      </x:c>
      <x:c r="D43" s="23" t="str">
        <x:v>Current</x:v>
      </x:c>
      <x:c r="E43" s="23" t="str">
        <x:v>Current</x:v>
      </x:c>
      <x:c r="F43" s="23" t="str">
        <x:v>Current</x:v>
      </x:c>
      <x:c r="G43" s="23" t="str">
        <x:v>Taxation ( Current Year)</x:v>
      </x:c>
      <x:c r="H43" s="23" t="str">
        <x:v>1048</x:v>
      </x:c>
      <x:c r="I43" s="23" t="str">
        <x:v>Taxation ( Current Year)</x:v>
      </x:c>
      <x:c r="J43" s="30" t="str"/>
      <x:c r="K43" s="30" t="str"/>
      <x:c r="L43" s="30" t="str"/>
      <x:c r="M43" s="30" t="str"/>
      <x:c r="N43" s="30" t="str"/>
      <x:c r="O43" s="30" t="str"/>
      <x:c r="P43" s="30" t="str">
        <x:v>0</x:v>
      </x:c>
      <x:c r="Q43" s="30" t="str">
        <x:v>0</x:v>
      </x:c>
      <x:c r="R43" s="24" t="str"/>
    </x:row>
    <x:row r="44">
      <x:c r="A44" s="22" t="str">
        <x:v>P&amp;L</x:v>
      </x:c>
      <x:c r="B44" s="23" t="str">
        <x:v>Expenses</x:v>
      </x:c>
      <x:c r="C44" s="23" t="str">
        <x:v>Direct expenses</x:v>
      </x:c>
      <x:c r="D44" s="23" t="str">
        <x:v>Fleet subsidy</x:v>
      </x:c>
      <x:c r="E44" s="23" t="str">
        <x:v>Fleet subsidy</x:v>
      </x:c>
      <x:c r="F44" s="23" t="str">
        <x:v>Fleet subsidy</x:v>
      </x:c>
      <x:c r="G44" s="23" t="str">
        <x:v>Fleet Subsidy</x:v>
      </x:c>
      <x:c r="H44" s="23" t="str">
        <x:v>1049</x:v>
      </x:c>
      <x:c r="I44" s="23" t="str">
        <x:v>Fleet Subsidy</x:v>
      </x:c>
      <x:c r="J44" s="30" t="str"/>
      <x:c r="K44" s="30" t="str"/>
      <x:c r="L44" s="30" t="str"/>
      <x:c r="M44" s="30" t="str"/>
      <x:c r="N44" s="30" t="str"/>
      <x:c r="O44" s="30" t="str"/>
      <x:c r="P44" s="30" t="str">
        <x:v>0</x:v>
      </x:c>
      <x:c r="Q44" s="30" t="str">
        <x:v>0</x:v>
      </x:c>
      <x:c r="R44" s="24" t="str"/>
    </x:row>
    <x:row r="45">
      <x:c r="A45" s="22" t="str">
        <x:v>P&amp;L</x:v>
      </x:c>
      <x:c r="B45" s="23" t="str">
        <x:v>Revenue</x:v>
      </x:c>
      <x:c r="C45" s="23" t="str">
        <x:v>Revenue - net</x:v>
      </x:c>
      <x:c r="D45" s="23" t="str">
        <x:v>Services to shippers - net</x:v>
      </x:c>
      <x:c r="E45" s="23" t="str">
        <x:v>Services to shippers - net</x:v>
      </x:c>
      <x:c r="F45" s="23" t="str">
        <x:v>Services to shippers - net</x:v>
      </x:c>
      <x:c r="G45" s="23" t="str">
        <x:v>Sales revenue</x:v>
      </x:c>
      <x:c r="H45" s="23" t="str">
        <x:v>1050</x:v>
      </x:c>
      <x:c r="I45" s="23" t="str">
        <x:v>Sales revenue</x:v>
      </x:c>
      <x:c r="J45" s="30" t="str"/>
      <x:c r="K45" s="30" t="str"/>
      <x:c r="L45" s="30" t="str"/>
      <x:c r="M45" s="30" t="str"/>
      <x:c r="N45" s="30" t="str"/>
      <x:c r="O45" s="30" t="str"/>
      <x:c r="P45" s="30" t="str">
        <x:v>0</x:v>
      </x:c>
      <x:c r="Q45" s="30" t="str">
        <x:v>0</x:v>
      </x:c>
      <x:c r="R45" s="24" t="str"/>
    </x:row>
    <x:row r="46">
      <x:c r="A46" s="22" t="str">
        <x:v>P&amp;L</x:v>
      </x:c>
      <x:c r="B46" s="23" t="str">
        <x:v>Expenses</x:v>
      </x:c>
      <x:c r="C46" s="23" t="str">
        <x:v>Administrative expenses</x:v>
      </x:c>
      <x:c r="D46" s="23" t="str">
        <x:v>Allowance for doubtful debts</x:v>
      </x:c>
      <x:c r="E46" s="23" t="str">
        <x:v>Allowance for doubtful debts</x:v>
      </x:c>
      <x:c r="F46" s="23" t="str">
        <x:v>Allowance for doubtful debts</x:v>
      </x:c>
      <x:c r="G46" s="23" t="str">
        <x:v>Allowance for doubtful debts</x:v>
      </x:c>
      <x:c r="H46" s="23" t="str">
        <x:v>1051</x:v>
      </x:c>
      <x:c r="I46" s="23" t="str">
        <x:v>Allowance for doubtful debts</x:v>
      </x:c>
      <x:c r="J46" s="30" t="str"/>
      <x:c r="K46" s="30" t="str"/>
      <x:c r="L46" s="30" t="str"/>
      <x:c r="M46" s="30" t="str"/>
      <x:c r="N46" s="30" t="str"/>
      <x:c r="O46" s="30" t="str"/>
      <x:c r="P46" s="30" t="str">
        <x:v>0</x:v>
      </x:c>
      <x:c r="Q46" s="30" t="str">
        <x:v>0</x:v>
      </x:c>
      <x:c r="R46" s="24" t="str"/>
    </x:row>
    <x:row r="47">
      <x:c r="A47" s="22" t="str">
        <x:v>P&amp;L</x:v>
      </x:c>
      <x:c r="B47" s="23" t="str">
        <x:v>Expenses</x:v>
      </x:c>
      <x:c r="C47" s="23" t="str">
        <x:v>Administrative expenses</x:v>
      </x:c>
      <x:c r="D47" s="23" t="str">
        <x:v>Allowance for doubtful debts</x:v>
      </x:c>
      <x:c r="E47" s="23" t="str">
        <x:v>Allowance for doubtful debts</x:v>
      </x:c>
      <x:c r="F47" s="23" t="str">
        <x:v>Allowance for doubtful debts</x:v>
      </x:c>
      <x:c r="G47" s="23" t="str">
        <x:v>Allowance for doubtful debts</x:v>
      </x:c>
      <x:c r="H47" s="23" t="str">
        <x:v>1052</x:v>
      </x:c>
      <x:c r="I47" s="23" t="str">
        <x:v>Allowance for doubtful debts</x:v>
      </x:c>
      <x:c r="J47" s="30" t="str"/>
      <x:c r="K47" s="30" t="str"/>
      <x:c r="L47" s="30" t="str"/>
      <x:c r="M47" s="30" t="str"/>
      <x:c r="N47" s="30" t="str"/>
      <x:c r="O47" s="30" t="str"/>
      <x:c r="P47" s="30" t="str">
        <x:v>0</x:v>
      </x:c>
      <x:c r="Q47" s="30" t="str">
        <x:v>0</x:v>
      </x:c>
      <x:c r="R47" s="24" t="str"/>
    </x:row>
    <x:row r="48">
      <x:c r="A48" s="22" t="str">
        <x:v>P&amp;L</x:v>
      </x:c>
      <x:c r="B48" s="23" t="str">
        <x:v>Expenses</x:v>
      </x:c>
      <x:c r="C48" s="23" t="str">
        <x:v>Administrative expenses</x:v>
      </x:c>
      <x:c r="D48" s="23" t="str">
        <x:v>Allowance for advance for laptops</x:v>
      </x:c>
      <x:c r="E48" s="23" t="str">
        <x:v>Allowance for advance for laptops</x:v>
      </x:c>
      <x:c r="F48" s="23" t="str">
        <x:v>Allowance for advance for laptops</x:v>
      </x:c>
      <x:c r="G48" s="23" t="str">
        <x:v>Allowance for advance for laptops</x:v>
      </x:c>
      <x:c r="H48" s="23" t="str">
        <x:v>1053</x:v>
      </x:c>
      <x:c r="I48" s="23" t="str">
        <x:v>Allowance for advance for laptops</x:v>
      </x:c>
      <x:c r="J48" s="30" t="str"/>
      <x:c r="K48" s="30" t="str"/>
      <x:c r="L48" s="30" t="str"/>
      <x:c r="M48" s="30" t="str"/>
      <x:c r="N48" s="30" t="str"/>
      <x:c r="O48" s="30" t="str"/>
      <x:c r="P48" s="30" t="str">
        <x:v>0</x:v>
      </x:c>
      <x:c r="Q48" s="30" t="str">
        <x:v>0</x:v>
      </x:c>
      <x:c r="R48" s="24" t="str"/>
    </x:row>
    <x:row r="49">
      <x:c r="A49" s="22" t="str">
        <x:v>P&amp;L</x:v>
      </x:c>
      <x:c r="B49" s="23" t="str">
        <x:v>Revenue</x:v>
      </x:c>
      <x:c r="C49" s="23" t="str">
        <x:v>Revenue - net</x:v>
      </x:c>
      <x:c r="D49" s="23" t="str">
        <x:v>Carrier cost</x:v>
      </x:c>
      <x:c r="E49" s="23" t="str">
        <x:v>Trucker's Commission</x:v>
      </x:c>
      <x:c r="F49" s="23" t="str">
        <x:v>Trucker's Commission</x:v>
      </x:c>
      <x:c r="G49" s="23" t="str">
        <x:v>Trucker's Commission</x:v>
      </x:c>
      <x:c r="H49" s="23" t="str">
        <x:v>1054</x:v>
      </x:c>
      <x:c r="I49" s="23" t="str">
        <x:v>Trucker's Commission</x:v>
      </x:c>
      <x:c r="J49" s="30" t="str"/>
      <x:c r="K49" s="30" t="str"/>
      <x:c r="L49" s="30" t="str"/>
      <x:c r="M49" s="30" t="str"/>
      <x:c r="N49" s="30" t="str"/>
      <x:c r="O49" s="30" t="str"/>
      <x:c r="P49" s="30" t="str">
        <x:v>0</x:v>
      </x:c>
      <x:c r="Q49" s="30" t="str">
        <x:v>0</x:v>
      </x:c>
      <x:c r="R49" s="24" t="str"/>
    </x:row>
    <x:row r="50">
      <x:c r="A50" s="22" t="str">
        <x:v>P&amp;L</x:v>
      </x:c>
      <x:c r="B50" s="23" t="str">
        <x:v>Revenue</x:v>
      </x:c>
      <x:c r="C50" s="23" t="str">
        <x:v>Revenue - net</x:v>
      </x:c>
      <x:c r="D50" s="23" t="str">
        <x:v>Carrier cost</x:v>
      </x:c>
      <x:c r="E50" s="23" t="str">
        <x:v>Trucker's Cost - Fuel</x:v>
      </x:c>
      <x:c r="F50" s="23" t="str">
        <x:v>Trucker's Cost - Fuel</x:v>
      </x:c>
      <x:c r="G50" s="23" t="str">
        <x:v>Trucker's Cost - Fuel</x:v>
      </x:c>
      <x:c r="H50" s="23" t="str">
        <x:v>1055</x:v>
      </x:c>
      <x:c r="I50" s="23" t="str">
        <x:v>Trucker's Cost - Fuel</x:v>
      </x:c>
      <x:c r="J50" s="30" t="str"/>
      <x:c r="K50" s="30" t="str"/>
      <x:c r="L50" s="30" t="str"/>
      <x:c r="M50" s="30" t="str"/>
      <x:c r="N50" s="30" t="str"/>
      <x:c r="O50" s="30" t="str"/>
      <x:c r="P50" s="30" t="str">
        <x:v>0</x:v>
      </x:c>
      <x:c r="Q50" s="30" t="str">
        <x:v>0</x:v>
      </x:c>
      <x:c r="R50" s="24" t="str"/>
    </x:row>
    <x:row r="51">
      <x:c r="A51" s="22" t="str">
        <x:v>P&amp;L</x:v>
      </x:c>
      <x:c r="B51" s="23" t="str">
        <x:v>Expenses</x:v>
      </x:c>
      <x:c r="C51" s="23" t="str">
        <x:v>Administrative expenses</x:v>
      </x:c>
      <x:c r="D51" s="23" t="str">
        <x:v>Salaries and other benefits</x:v>
      </x:c>
      <x:c r="E51" s="23" t="str">
        <x:v>Salaries and other benefits</x:v>
      </x:c>
      <x:c r="F51" s="23" t="str">
        <x:v>Salaries and other benefits</x:v>
      </x:c>
      <x:c r="G51" s="23" t="str">
        <x:v>SALARIES &amp; WAGES</x:v>
      </x:c>
      <x:c r="H51" s="23" t="str">
        <x:v>1056</x:v>
      </x:c>
      <x:c r="I51" s="23" t="str">
        <x:v>SALARIES &amp; WAGES</x:v>
      </x:c>
      <x:c r="J51" s="30" t="str"/>
      <x:c r="K51" s="30" t="str"/>
      <x:c r="L51" s="30" t="str"/>
      <x:c r="M51" s="30" t="str"/>
      <x:c r="N51" s="30" t="str"/>
      <x:c r="O51" s="30" t="str"/>
      <x:c r="P51" s="30" t="str">
        <x:v>0</x:v>
      </x:c>
      <x:c r="Q51" s="30" t="str">
        <x:v>0</x:v>
      </x:c>
      <x:c r="R51" s="24" t="str"/>
    </x:row>
    <x:row r="52">
      <x:c r="A52" s="22" t="str">
        <x:v>P&amp;L</x:v>
      </x:c>
      <x:c r="B52" s="23" t="str">
        <x:v>Expenses</x:v>
      </x:c>
      <x:c r="C52" s="23" t="str">
        <x:v>Finance Cost</x:v>
      </x:c>
      <x:c r="D52" s="23" t="str">
        <x:v>Bank charges</x:v>
      </x:c>
      <x:c r="E52" s="23" t="str">
        <x:v>Bank charges</x:v>
      </x:c>
      <x:c r="F52" s="23" t="str">
        <x:v>Bank charges</x:v>
      </x:c>
      <x:c r="G52" s="23" t="str">
        <x:v>Bank Charges</x:v>
      </x:c>
      <x:c r="H52" s="23" t="str">
        <x:v>1057</x:v>
      </x:c>
      <x:c r="I52" s="23" t="str">
        <x:v>Bank Charges</x:v>
      </x:c>
      <x:c r="J52" s="30" t="str"/>
      <x:c r="K52" s="30" t="str"/>
      <x:c r="L52" s="30" t="str"/>
      <x:c r="M52" s="30" t="str"/>
      <x:c r="N52" s="30" t="str"/>
      <x:c r="O52" s="30" t="str"/>
      <x:c r="P52" s="30" t="str">
        <x:v>0</x:v>
      </x:c>
      <x:c r="Q52" s="30" t="str">
        <x:v>0</x:v>
      </x:c>
      <x:c r="R52" s="24" t="str"/>
    </x:row>
    <x:row r="53">
      <x:c r="A53" s="22" t="str">
        <x:v>P&amp;L</x:v>
      </x:c>
      <x:c r="B53" s="23" t="str">
        <x:v>Expenses</x:v>
      </x:c>
      <x:c r="C53" s="23" t="str">
        <x:v>Administrative expenses</x:v>
      </x:c>
      <x:c r="D53" s="23" t="str">
        <x:v>Rent and utilities</x:v>
      </x:c>
      <x:c r="E53" s="23" t="str">
        <x:v>Rent and utilities</x:v>
      </x:c>
      <x:c r="F53" s="23" t="str">
        <x:v>Rent and utilities</x:v>
      </x:c>
      <x:c r="G53" s="23" t="str">
        <x:v>Rent and utilities</x:v>
      </x:c>
      <x:c r="H53" s="23" t="str">
        <x:v>1058</x:v>
      </x:c>
      <x:c r="I53" s="23" t="str">
        <x:v>Rent and utilities</x:v>
      </x:c>
      <x:c r="J53" s="30" t="str"/>
      <x:c r="K53" s="30" t="str"/>
      <x:c r="L53" s="30" t="str"/>
      <x:c r="M53" s="30" t="str"/>
      <x:c r="N53" s="30" t="str"/>
      <x:c r="O53" s="30" t="str"/>
      <x:c r="P53" s="30" t="str">
        <x:v>0</x:v>
      </x:c>
      <x:c r="Q53" s="30" t="str">
        <x:v>0</x:v>
      </x:c>
      <x:c r="R53" s="24" t="str"/>
    </x:row>
    <x:row r="54">
      <x:c r="A54" s="22" t="str">
        <x:v>P&amp;L</x:v>
      </x:c>
      <x:c r="B54" s="23" t="str">
        <x:v>Expenses</x:v>
      </x:c>
      <x:c r="C54" s="23" t="str">
        <x:v>Administrative expenses</x:v>
      </x:c>
      <x:c r="D54" s="23" t="str">
        <x:v>Travelling and entertainment</x:v>
      </x:c>
      <x:c r="E54" s="23" t="str">
        <x:v>Travelling and entertainment</x:v>
      </x:c>
      <x:c r="F54" s="23" t="str">
        <x:v>Travelling and entertainment</x:v>
      </x:c>
      <x:c r="G54" s="23" t="str">
        <x:v>Travel and entertainment</x:v>
      </x:c>
      <x:c r="H54" s="23" t="str">
        <x:v>1059</x:v>
      </x:c>
      <x:c r="I54" s="23" t="str">
        <x:v>Travel and entertainment</x:v>
      </x:c>
      <x:c r="J54" s="30" t="str"/>
      <x:c r="K54" s="30" t="str"/>
      <x:c r="L54" s="30" t="str"/>
      <x:c r="M54" s="30" t="str"/>
      <x:c r="N54" s="30" t="str"/>
      <x:c r="O54" s="30" t="str"/>
      <x:c r="P54" s="30" t="str">
        <x:v>0</x:v>
      </x:c>
      <x:c r="Q54" s="30" t="str">
        <x:v>0</x:v>
      </x:c>
      <x:c r="R54" s="24" t="str"/>
    </x:row>
    <x:row r="55">
      <x:c r="A55" s="22" t="str">
        <x:v>P&amp;L</x:v>
      </x:c>
      <x:c r="B55" s="23" t="str">
        <x:v>Expenses</x:v>
      </x:c>
      <x:c r="C55" s="23" t="str">
        <x:v>Administrative expenses</x:v>
      </x:c>
      <x:c r="D55" s="23" t="str">
        <x:v>Legal and professional</x:v>
      </x:c>
      <x:c r="E55" s="23" t="str">
        <x:v>Legal and professional</x:v>
      </x:c>
      <x:c r="F55" s="23" t="str">
        <x:v>Legal and professional</x:v>
      </x:c>
      <x:c r="G55" s="23" t="str">
        <x:v>Legal and professional</x:v>
      </x:c>
      <x:c r="H55" s="23" t="str">
        <x:v>1060</x:v>
      </x:c>
      <x:c r="I55" s="23" t="str">
        <x:v>LEGAL &amp; PROFESSIONAL FEE</x:v>
      </x:c>
      <x:c r="J55" s="30" t="str"/>
      <x:c r="K55" s="30" t="str"/>
      <x:c r="L55" s="30" t="str"/>
      <x:c r="M55" s="30" t="str"/>
      <x:c r="N55" s="30" t="str"/>
      <x:c r="O55" s="30" t="str"/>
      <x:c r="P55" s="30" t="str">
        <x:v>0</x:v>
      </x:c>
      <x:c r="Q55" s="30" t="str">
        <x:v>0</x:v>
      </x:c>
      <x:c r="R55" s="24" t="str"/>
    </x:row>
    <x:row r="56">
      <x:c r="A56" s="22" t="str">
        <x:v>P&amp;L</x:v>
      </x:c>
      <x:c r="B56" s="23" t="str">
        <x:v>Expenses</x:v>
      </x:c>
      <x:c r="C56" s="23" t="str">
        <x:v>Administrative expenses</x:v>
      </x:c>
      <x:c r="D56" s="23" t="str">
        <x:v>Offline marketing and channel</x:v>
      </x:c>
      <x:c r="E56" s="23" t="str">
        <x:v>Offline marketing and channel</x:v>
      </x:c>
      <x:c r="F56" s="23" t="str">
        <x:v>Offline marketing and channel</x:v>
      </x:c>
      <x:c r="G56" s="23" t="str">
        <x:v>Offline marketing and channel</x:v>
      </x:c>
      <x:c r="H56" s="23" t="str">
        <x:v>1061</x:v>
      </x:c>
      <x:c r="I56" s="23" t="str">
        <x:v>Offline marketing and channel</x:v>
      </x:c>
      <x:c r="J56" s="30" t="str"/>
      <x:c r="K56" s="30" t="str"/>
      <x:c r="L56" s="30" t="str"/>
      <x:c r="M56" s="30" t="str"/>
      <x:c r="N56" s="30" t="str"/>
      <x:c r="O56" s="30" t="str"/>
      <x:c r="P56" s="30" t="str">
        <x:v>0</x:v>
      </x:c>
      <x:c r="Q56" s="30" t="str">
        <x:v>0</x:v>
      </x:c>
      <x:c r="R56" s="24" t="str"/>
    </x:row>
    <x:row r="57">
      <x:c r="A57" s="22" t="str">
        <x:v>P&amp;L</x:v>
      </x:c>
      <x:c r="B57" s="23" t="str">
        <x:v>Expenses</x:v>
      </x:c>
      <x:c r="C57" s="23" t="str">
        <x:v>Administrative expenses</x:v>
      </x:c>
      <x:c r="D57" s="23" t="str">
        <x:v>Call center</x:v>
      </x:c>
      <x:c r="E57" s="23" t="str">
        <x:v>Call center</x:v>
      </x:c>
      <x:c r="F57" s="23" t="str">
        <x:v>Call center</x:v>
      </x:c>
      <x:c r="G57" s="23" t="str">
        <x:v>Call center</x:v>
      </x:c>
      <x:c r="H57" s="23" t="str">
        <x:v>1062</x:v>
      </x:c>
      <x:c r="I57" s="23" t="str">
        <x:v>Call center</x:v>
      </x:c>
      <x:c r="J57" s="30" t="str"/>
      <x:c r="K57" s="30" t="str"/>
      <x:c r="L57" s="30" t="str"/>
      <x:c r="M57" s="30" t="str"/>
      <x:c r="N57" s="30" t="str"/>
      <x:c r="O57" s="30" t="str"/>
      <x:c r="P57" s="30" t="str">
        <x:v>0</x:v>
      </x:c>
      <x:c r="Q57" s="30" t="str">
        <x:v>0</x:v>
      </x:c>
      <x:c r="R57" s="24" t="str"/>
    </x:row>
    <x:row r="58">
      <x:c r="A58" s="22" t="str">
        <x:v>P&amp;L</x:v>
      </x:c>
      <x:c r="B58" s="23" t="str">
        <x:v>Expenses</x:v>
      </x:c>
      <x:c r="C58" s="23" t="str">
        <x:v>Administrative expenses</x:v>
      </x:c>
      <x:c r="D58" s="23" t="str">
        <x:v>Auditors' remuneration</x:v>
      </x:c>
      <x:c r="E58" s="23" t="str">
        <x:v>Auditors' remuneration</x:v>
      </x:c>
      <x:c r="F58" s="23" t="str">
        <x:v>Auditors' remuneration</x:v>
      </x:c>
      <x:c r="G58" s="23" t="str">
        <x:v>Auditors remuneration</x:v>
      </x:c>
      <x:c r="H58" s="23" t="str">
        <x:v>1063</x:v>
      </x:c>
      <x:c r="I58" s="23" t="str">
        <x:v>Auditors remuneration</x:v>
      </x:c>
      <x:c r="J58" s="30" t="str"/>
      <x:c r="K58" s="30" t="str"/>
      <x:c r="L58" s="30" t="str"/>
      <x:c r="M58" s="30" t="str"/>
      <x:c r="N58" s="30" t="str"/>
      <x:c r="O58" s="30" t="str"/>
      <x:c r="P58" s="30" t="str">
        <x:v>0</x:v>
      </x:c>
      <x:c r="Q58" s="30" t="str">
        <x:v>0</x:v>
      </x:c>
      <x:c r="R58" s="24" t="str"/>
    </x:row>
    <x:row r="59">
      <x:c r="A59" s="22" t="str">
        <x:v>P&amp;L</x:v>
      </x:c>
      <x:c r="B59" s="23" t="str">
        <x:v>Expenses</x:v>
      </x:c>
      <x:c r="C59" s="23" t="str">
        <x:v>Administrative expenses</x:v>
      </x:c>
      <x:c r="D59" s="23" t="str">
        <x:v>Depreciation</x:v>
      </x:c>
      <x:c r="E59" s="23" t="str">
        <x:v>Depreciation</x:v>
      </x:c>
      <x:c r="F59" s="23" t="str">
        <x:v>Depreciation</x:v>
      </x:c>
      <x:c r="G59" s="23" t="str">
        <x:v>Depreciation</x:v>
      </x:c>
      <x:c r="H59" s="23" t="str">
        <x:v>1064</x:v>
      </x:c>
      <x:c r="I59" s="23" t="str">
        <x:v>Depreciation</x:v>
      </x:c>
      <x:c r="J59" s="30" t="str"/>
      <x:c r="K59" s="30" t="str"/>
      <x:c r="L59" s="30" t="str"/>
      <x:c r="M59" s="30" t="str"/>
      <x:c r="N59" s="30" t="str"/>
      <x:c r="O59" s="30" t="str"/>
      <x:c r="P59" s="30" t="str">
        <x:v>0</x:v>
      </x:c>
      <x:c r="Q59" s="30" t="str">
        <x:v>0</x:v>
      </x:c>
      <x:c r="R59" s="24" t="str"/>
    </x:row>
    <x:row r="60">
      <x:c r="A60" s="22" t="str">
        <x:v>P&amp;L</x:v>
      </x:c>
      <x:c r="B60" s="23" t="str">
        <x:v>Income</x:v>
      </x:c>
      <x:c r="C60" s="23" t="str">
        <x:v>Other Income</x:v>
      </x:c>
      <x:c r="D60" s="23" t="str">
        <x:v>Income from non - financial assets</x:v>
      </x:c>
      <x:c r="E60" s="23" t="str">
        <x:v>Miscellaneous</x:v>
      </x:c>
      <x:c r="F60" s="23" t="str">
        <x:v>Miscellaneous</x:v>
      </x:c>
      <x:c r="G60" s="23" t="str">
        <x:v>Other Income</x:v>
      </x:c>
      <x:c r="H60" s="23" t="str">
        <x:v>1065</x:v>
      </x:c>
      <x:c r="I60" s="23" t="str">
        <x:v>Other Income</x:v>
      </x:c>
      <x:c r="J60" s="30" t="str"/>
      <x:c r="K60" s="30" t="str"/>
      <x:c r="L60" s="30" t="str"/>
      <x:c r="M60" s="30" t="str"/>
      <x:c r="N60" s="30" t="str"/>
      <x:c r="O60" s="30" t="str"/>
      <x:c r="P60" s="30" t="str">
        <x:v>0</x:v>
      </x:c>
      <x:c r="Q60" s="30" t="str">
        <x:v>0</x:v>
      </x:c>
      <x:c r="R60" s="24" t="str"/>
    </x:row>
    <x:row r="61">
      <x:c r="A61" s="22" t="str">
        <x:v>P&amp;L</x:v>
      </x:c>
      <x:c r="B61" s="23" t="str">
        <x:v>Income</x:v>
      </x:c>
      <x:c r="C61" s="23" t="str">
        <x:v>Other Income</x:v>
      </x:c>
      <x:c r="D61" s="23" t="str">
        <x:v>Income from financial assets</x:v>
      </x:c>
      <x:c r="E61" s="23" t="str">
        <x:v>Interest on savings accounts</x:v>
      </x:c>
      <x:c r="F61" s="23" t="str">
        <x:v>Interest on savings accounts</x:v>
      </x:c>
      <x:c r="G61" s="23" t="str">
        <x:v>Profit on PLS</x:v>
      </x:c>
      <x:c r="H61" s="23" t="str">
        <x:v>1066</x:v>
      </x:c>
      <x:c r="I61" s="23" t="str">
        <x:v>Profit on PLS</x:v>
      </x:c>
      <x:c r="J61" s="30" t="str"/>
      <x:c r="K61" s="30" t="str"/>
      <x:c r="L61" s="30" t="str"/>
      <x:c r="M61" s="30" t="str"/>
      <x:c r="N61" s="30" t="str"/>
      <x:c r="O61" s="30" t="str"/>
      <x:c r="P61" s="30" t="str">
        <x:v>0</x:v>
      </x:c>
      <x:c r="Q61" s="30" t="str">
        <x:v>0</x:v>
      </x:c>
      <x:c r="R61" s="24" t="str"/>
    </x:row>
    <x:row r="62">
      <x:c r="A62" s="22" t="str">
        <x:v>P&amp;L</x:v>
      </x:c>
      <x:c r="B62" s="23" t="str">
        <x:v>Expenses</x:v>
      </x:c>
      <x:c r="C62" s="23" t="str">
        <x:v>Administrative expenses</x:v>
      </x:c>
      <x:c r="D62" s="23" t="str">
        <x:v>Amortization</x:v>
      </x:c>
      <x:c r="E62" s="23" t="str">
        <x:v>Amortization</x:v>
      </x:c>
      <x:c r="F62" s="23" t="str">
        <x:v>Amortization</x:v>
      </x:c>
      <x:c r="G62" s="23" t="str">
        <x:v>Amortization</x:v>
      </x:c>
      <x:c r="H62" s="23" t="str">
        <x:v>1067</x:v>
      </x:c>
      <x:c r="I62" s="23" t="str">
        <x:v>Amortization</x:v>
      </x:c>
      <x:c r="J62" s="30" t="str"/>
      <x:c r="K62" s="30" t="str"/>
      <x:c r="L62" s="30" t="str"/>
      <x:c r="M62" s="30" t="str"/>
      <x:c r="N62" s="30" t="str"/>
      <x:c r="O62" s="30" t="str"/>
      <x:c r="P62" s="30" t="str">
        <x:v>0</x:v>
      </x:c>
      <x:c r="Q62" s="30" t="str">
        <x:v>0</x:v>
      </x:c>
      <x:c r="R62" s="24" t="str"/>
    </x:row>
    <x:row r="63">
      <x:c r="A63" s="22" t="str">
        <x:v>P&amp;L</x:v>
      </x:c>
      <x:c r="B63" s="23" t="str">
        <x:v>Expenses</x:v>
      </x:c>
      <x:c r="C63" s="23" t="str">
        <x:v>Administrative expenses</x:v>
      </x:c>
      <x:c r="D63" s="23" t="str">
        <x:v>Other expenses</x:v>
      </x:c>
      <x:c r="E63" s="23" t="str">
        <x:v>Other expenses</x:v>
      </x:c>
      <x:c r="F63" s="23" t="str">
        <x:v>Other expenses</x:v>
      </x:c>
      <x:c r="G63" s="23" t="str">
        <x:v>Other Expenses</x:v>
      </x:c>
      <x:c r="H63" s="23" t="str">
        <x:v>1068</x:v>
      </x:c>
      <x:c r="I63" s="23" t="str">
        <x:v>Other Expenses</x:v>
      </x:c>
      <x:c r="J63" s="30" t="str"/>
      <x:c r="K63" s="30" t="str"/>
      <x:c r="L63" s="30" t="str"/>
      <x:c r="M63" s="30" t="str"/>
      <x:c r="N63" s="30" t="str"/>
      <x:c r="O63" s="30" t="str"/>
      <x:c r="P63" s="30" t="str">
        <x:v>0</x:v>
      </x:c>
      <x:c r="Q63" s="30" t="str">
        <x:v>0</x:v>
      </x:c>
      <x:c r="R63" s="24" t="str"/>
    </x:row>
    <x:row r="64">
      <x:c r="A64" s="22" t="str">
        <x:v>P&amp;L</x:v>
      </x:c>
      <x:c r="B64" s="23" t="str">
        <x:v>Expenses</x:v>
      </x:c>
      <x:c r="C64" s="23" t="str">
        <x:v>Finance Cost</x:v>
      </x:c>
      <x:c r="D64" s="23" t="str">
        <x:v>Bank charges</x:v>
      </x:c>
      <x:c r="E64" s="23" t="str">
        <x:v>Bank charges</x:v>
      </x:c>
      <x:c r="F64" s="23" t="str">
        <x:v>Bank charges</x:v>
      </x:c>
      <x:c r="G64" s="23" t="str">
        <x:v>Bank Charges</x:v>
      </x:c>
      <x:c r="H64" s="23" t="str">
        <x:v>1069</x:v>
      </x:c>
      <x:c r="I64" s="23" t="str">
        <x:v>Bank Charges</x:v>
      </x:c>
      <x:c r="J64" s="30" t="str"/>
      <x:c r="K64" s="30" t="str"/>
      <x:c r="L64" s="30" t="str"/>
      <x:c r="M64" s="30" t="str"/>
      <x:c r="N64" s="30" t="str"/>
      <x:c r="O64" s="30" t="str"/>
      <x:c r="P64" s="30" t="str">
        <x:v>0</x:v>
      </x:c>
      <x:c r="Q64" s="30" t="str">
        <x:v>0</x:v>
      </x:c>
      <x:c r="R64" s="24" t="str"/>
    </x:row>
    <x:row r="65">
      <x:c r="A65" s="22" t="str">
        <x:v>P&amp;L</x:v>
      </x:c>
      <x:c r="B65" s="23" t="str">
        <x:v>Expenses</x:v>
      </x:c>
      <x:c r="C65" s="23" t="str">
        <x:v>Other expenses</x:v>
      </x:c>
      <x:c r="D65" s="23" t="str">
        <x:v>Loss on disposal</x:v>
      </x:c>
      <x:c r="E65" s="23" t="str">
        <x:v>Loss on disposal</x:v>
      </x:c>
      <x:c r="F65" s="23" t="str">
        <x:v>Loss on disposal</x:v>
      </x:c>
      <x:c r="G65" s="23" t="str">
        <x:v>Loss on disposal</x:v>
      </x:c>
      <x:c r="H65" s="23" t="str">
        <x:v>new code 2</x:v>
      </x:c>
      <x:c r="I65" s="23" t="str">
        <x:v>Loss on disposal</x:v>
      </x:c>
      <x:c r="J65" s="30" t="str"/>
      <x:c r="K65" s="30" t="str"/>
      <x:c r="L65" s="30" t="str"/>
      <x:c r="M65" s="30" t="str"/>
      <x:c r="N65" s="30" t="str"/>
      <x:c r="O65" s="30" t="str"/>
      <x:c r="P65" s="30" t="str">
        <x:v>0</x:v>
      </x:c>
      <x:c r="Q65" s="30" t="str">
        <x:v>0</x:v>
      </x:c>
      <x:c r="R65" s="24" t="str"/>
    </x:row>
    <x:row r="66">
      <x:c r="A66" s="22" t="str">
        <x:v>P&amp;L</x:v>
      </x:c>
      <x:c r="B66" s="23" t="str">
        <x:v>Assets</x:v>
      </x:c>
      <x:c r="C66" s="23" t="str">
        <x:v>Current Assets</x:v>
      </x:c>
      <x:c r="D66" s="23" t="str">
        <x:v>A Rec written off</x:v>
      </x:c>
      <x:c r="E66" s="23" t="str">
        <x:v>A Rec written off</x:v>
      </x:c>
      <x:c r="F66" s="23" t="str">
        <x:v>A Rec written off</x:v>
      </x:c>
      <x:c r="G66" s="23" t="str">
        <x:v>A Rec written off</x:v>
      </x:c>
      <x:c r="H66" s="23" t="str">
        <x:v>New code 1</x:v>
      </x:c>
      <x:c r="I66" s="23" t="str">
        <x:v>A Rec written off</x:v>
      </x:c>
      <x:c r="J66" s="30" t="str"/>
      <x:c r="K66" s="30" t="str"/>
      <x:c r="L66" s="30" t="str"/>
      <x:c r="M66" s="30" t="str"/>
      <x:c r="N66" s="30" t="str"/>
      <x:c r="O66" s="30" t="str"/>
      <x:c r="P66" s="30" t="str">
        <x:v>0</x:v>
      </x:c>
      <x:c r="Q66" s="30" t="str">
        <x:v>0</x:v>
      </x:c>
      <x:c r="R66" s="24" t="str"/>
    </x:row>
    <x:row r="67">
      <x:c r="A67" s="25" t="str">
        <x:v>P&amp;L</x:v>
      </x:c>
      <x:c r="B67" s="26" t="str">
        <x:v>Expenses</x:v>
      </x:c>
      <x:c r="C67" s="26" t="str">
        <x:v>Taxation</x:v>
      </x:c>
      <x:c r="D67" s="26" t="str">
        <x:v>Final tax levy</x:v>
      </x:c>
      <x:c r="E67" s="26" t="str">
        <x:v>Final tax levy</x:v>
      </x:c>
      <x:c r="F67" s="26" t="str">
        <x:v>Final tax levy</x:v>
      </x:c>
      <x:c r="G67" s="26" t="str">
        <x:v>Final tax levy</x:v>
      </x:c>
      <x:c r="H67" s="26" t="str">
        <x:v>New code 3</x:v>
      </x:c>
      <x:c r="I67" s="26" t="str">
        <x:v>Final tax levy</x:v>
      </x:c>
      <x:c r="J67" s="31" t="str"/>
      <x:c r="K67" s="31" t="str"/>
      <x:c r="L67" s="31" t="str"/>
      <x:c r="M67" s="31" t="str"/>
      <x:c r="N67" s="31" t="str"/>
      <x:c r="O67" s="31" t="str"/>
      <x:c r="P67" s="31" t="str">
        <x:v>0</x:v>
      </x:c>
      <x:c r="Q67" s="31" t="str">
        <x:v>0</x:v>
      </x:c>
      <x:c r="R67" s="27" t="str"/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HBL Main — Raw Bank Statement</x:v>
      </x:c>
    </x:row>
    <x:row r="3">
      <x:c r="A3" s="6" t="str">
        <x:v>Bank</x:v>
      </x:c>
      <x:c r="B3" s="7" t="str">
        <x:v>HBL Main</x:v>
      </x:c>
    </x:row>
    <x:row r="4">
      <x:c r="A4" s="6" t="str">
        <x:v>Bank GL Code</x:v>
      </x:c>
      <x:c r="B4" s="7" t="str">
        <x:v>1029</x:v>
      </x:c>
    </x:row>
    <x:row r="5">
      <x:c r="A5" s="6" t="str">
        <x:v>Opening Balance (PKR)</x:v>
      </x:c>
      <x:c r="B5" s="32" t="n">
        <x:v>650000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45839</x:v>
      </x:c>
      <x:c r="B7" s="38" t="n">
        <x:v>45839</x:v>
      </x:c>
      <x:c r="C7" s="39" t="str">
        <x:v>Customer collection — merchant settlement</x:v>
      </x:c>
      <x:c r="D7" s="39" t="str">
        <x:v>B01-001</x:v>
      </x:c>
      <x:c r="E7" s="40" t="n">
        <x:v>0</x:v>
      </x:c>
      <x:c r="F7" s="40" t="n">
        <x:v>800000</x:v>
      </x:c>
      <x:c r="G7" s="40" t="n">
        <x:f>$B$5-E7+F7</x:f>
        <x:v>1450000</x:v>
      </x:c>
      <x:c r="H7" s="39" t="str">
        <x:v>Customer receipt</x:v>
      </x:c>
      <x:c r="I7" s="39" t="str">
        <x:v>Merchant settlement</x:v>
      </x:c>
      <x:c r="J7" s="39" t="str">
        <x:v>1050</x:v>
      </x:c>
      <x:c r="K7" s="39" t="str">
        <x:v>Customer Collections</x:v>
      </x:c>
      <x:c r="L7" s="39" t="str">
        <x:v>Operating - Receipts</x:v>
      </x:c>
      <x:c r="M7" s="39" t="str">
        <x:v>FS-000022</x:v>
      </x:c>
      <x:c r="N7" s="41" t="str">
        <x:v>Merchant collection report</x:v>
      </x:c>
    </x:row>
    <x:row r="8">
      <x:c r="A8" s="37" t="n">
        <x:v>45840</x:v>
      </x:c>
      <x:c r="B8" s="38" t="n">
        <x:v>45840</x:v>
      </x:c>
      <x:c r="C8" s="39" t="str">
        <x:v>Vendor payout — carrier settlement</x:v>
      </x:c>
      <x:c r="D8" s="39" t="str">
        <x:v>B01-002</x:v>
      </x:c>
      <x:c r="E8" s="40" t="n">
        <x:v>450000</x:v>
      </x:c>
      <x:c r="F8" s="40" t="n">
        <x:v>0</x:v>
      </x:c>
      <x:c r="G8" s="40" t="n">
        <x:f>G7-E8+F8</x:f>
        <x:v>1000000</x:v>
      </x:c>
      <x:c r="H8" s="39" t="str">
        <x:v>Carrier payment</x:v>
      </x:c>
      <x:c r="I8" s="39" t="str">
        <x:v>Carrier partner</x:v>
      </x:c>
      <x:c r="J8" s="39" t="str">
        <x:v>1054</x:v>
      </x:c>
      <x:c r="K8" s="39" t="str">
        <x:v>Vendor Payout</x:v>
      </x:c>
      <x:c r="L8" s="39" t="str">
        <x:v>Operating - Payments</x:v>
      </x:c>
      <x:c r="M8" s="39" t="str">
        <x:v>FS-000003</x:v>
      </x:c>
      <x:c r="N8" s="41" t="str">
        <x:v>Carrier invoice</x:v>
      </x:c>
    </x:row>
    <x:row r="9">
      <x:c r="A9" s="37" t="n">
        <x:v>45841</x:v>
      </x:c>
      <x:c r="B9" s="38" t="n">
        <x:v>45841</x:v>
      </x:c>
      <x:c r="C9" s="39" t="str">
        <x:v>Cloud hosting and software payment</x:v>
      </x:c>
      <x:c r="D9" s="39" t="str">
        <x:v>B01-003</x:v>
      </x:c>
      <x:c r="E9" s="40" t="n">
        <x:v>75000</x:v>
      </x:c>
      <x:c r="F9" s="40" t="n">
        <x:v>0</x:v>
      </x:c>
      <x:c r="G9" s="40" t="n">
        <x:f>G8-E9+F9</x:f>
        <x:v>925000</x:v>
      </x:c>
      <x:c r="H9" s="39" t="str">
        <x:v>Technology payment</x:v>
      </x:c>
      <x:c r="I9" s="39" t="str">
        <x:v>Cloud services provider</x:v>
      </x:c>
      <x:c r="J9" s="39" t="str">
        <x:v>1068</x:v>
      </x:c>
      <x:c r="K9" s="39" t="str">
        <x:v>Tech</x:v>
      </x:c>
      <x:c r="L9" s="39" t="str">
        <x:v>Operating - Payments</x:v>
      </x:c>
      <x:c r="M9" s="39" t="str">
        <x:v>FS-000021</x:v>
      </x:c>
      <x:c r="N9" s="41" t="str">
        <x:v>Vendor invoice</x:v>
      </x:c>
    </x:row>
    <x:row r="10">
      <x:c r="A10" s="42" t="n">
        <x:v>45842</x:v>
      </x:c>
      <x:c r="B10" s="43" t="n">
        <x:v>45842</x:v>
      </x:c>
      <x:c r="C10" s="44" t="str">
        <x:v>Transfer to Meezan Payroll</x:v>
      </x:c>
      <x:c r="D10" s="44" t="str">
        <x:v>TRF-01-02</x:v>
      </x:c>
      <x:c r="E10" s="45" t="n">
        <x:v>200000</x:v>
      </x:c>
      <x:c r="F10" s="45" t="n">
        <x:v>0</x:v>
      </x:c>
      <x:c r="G10" s="45" t="n">
        <x:f>G9-E10+F10</x:f>
        <x:v>725000</x:v>
      </x:c>
      <x:c r="H10" s="44" t="str">
        <x:v>Inter-bank transfer</x:v>
      </x:c>
      <x:c r="I10" s="44" t="str">
        <x:v>Meezan Payroll</x:v>
      </x:c>
      <x:c r="J10" s="44" t="str">
        <x:v>1030</x:v>
      </x:c>
      <x:c r="K10" s="44" t="str">
        <x:v>Contra</x:v>
      </x:c>
      <x:c r="L10" s="44" t="str">
        <x:v>Transfer</x:v>
      </x:c>
      <x:c r="M10" s="44" t="str">
        <x:v>FS-000020</x:v>
      </x:c>
      <x:c r="N10" s="46" t="str">
        <x:v>Transfer advice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Meezan Payroll — Raw Bank Statement</x:v>
      </x:c>
    </x:row>
    <x:row r="3">
      <x:c r="A3" s="6" t="str">
        <x:v>Bank</x:v>
      </x:c>
      <x:c r="B3" s="7" t="str">
        <x:v>Meezan Payroll</x:v>
      </x:c>
    </x:row>
    <x:row r="4">
      <x:c r="A4" s="6" t="str">
        <x:v>Bank GL Code</x:v>
      </x:c>
      <x:c r="B4" s="7" t="str">
        <x:v>1030</x:v>
      </x:c>
    </x:row>
    <x:row r="5">
      <x:c r="A5" s="6" t="str">
        <x:v>Opening Balance (PKR)</x:v>
      </x:c>
      <x:c r="B5" s="32" t="n">
        <x:v>600000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45840</x:v>
      </x:c>
      <x:c r="B7" s="38" t="n">
        <x:v>45840</x:v>
      </x:c>
      <x:c r="C7" s="39" t="str">
        <x:v>Transfer received from HBL Main</x:v>
      </x:c>
      <x:c r="D7" s="39" t="str">
        <x:v>TRF-01-02</x:v>
      </x:c>
      <x:c r="E7" s="40" t="n">
        <x:v>0</x:v>
      </x:c>
      <x:c r="F7" s="40" t="n">
        <x:v>200000</x:v>
      </x:c>
      <x:c r="G7" s="40" t="n">
        <x:f>$B$5-E7+F7</x:f>
        <x:v>800000</x:v>
      </x:c>
      <x:c r="H7" s="39" t="str">
        <x:v>Inter-bank transfer</x:v>
      </x:c>
      <x:c r="I7" s="39" t="str">
        <x:v>HBL Main</x:v>
      </x:c>
      <x:c r="J7" s="39" t="str">
        <x:v>1029</x:v>
      </x:c>
      <x:c r="K7" s="39" t="str">
        <x:v>Contra</x:v>
      </x:c>
      <x:c r="L7" s="39" t="str">
        <x:v>Transfer</x:v>
      </x:c>
      <x:c r="M7" s="39" t="str">
        <x:v>FS-000020</x:v>
      </x:c>
      <x:c r="N7" s="41" t="str">
        <x:v>Transfer advice</x:v>
      </x:c>
    </x:row>
    <x:row r="8">
      <x:c r="A8" s="37" t="n">
        <x:v>45841</x:v>
      </x:c>
      <x:c r="B8" s="38" t="n">
        <x:v>45841</x:v>
      </x:c>
      <x:c r="C8" s="39" t="str">
        <x:v>Payroll disbursement — July</x:v>
      </x:c>
      <x:c r="D8" s="39" t="str">
        <x:v>B02-002</x:v>
      </x:c>
      <x:c r="E8" s="40" t="n">
        <x:v>160000</x:v>
      </x:c>
      <x:c r="F8" s="40" t="n">
        <x:v>0</x:v>
      </x:c>
      <x:c r="G8" s="40" t="n">
        <x:f>G7-E8+F8</x:f>
        <x:v>640000</x:v>
      </x:c>
      <x:c r="H8" s="39" t="str">
        <x:v>Payroll payment</x:v>
      </x:c>
      <x:c r="I8" s="39" t="str">
        <x:v>Employees</x:v>
      </x:c>
      <x:c r="J8" s="39" t="str">
        <x:v>1056</x:v>
      </x:c>
      <x:c r="K8" s="39" t="str">
        <x:v>People</x:v>
      </x:c>
      <x:c r="L8" s="39" t="str">
        <x:v>Operating - Payments</x:v>
      </x:c>
      <x:c r="M8" s="39" t="str">
        <x:v>FS-000010</x:v>
      </x:c>
      <x:c r="N8" s="41" t="str">
        <x:v>Payroll register</x:v>
      </x:c>
    </x:row>
    <x:row r="9">
      <x:c r="A9" s="37" t="n">
        <x:v>45842</x:v>
      </x:c>
      <x:c r="B9" s="38" t="n">
        <x:v>45842</x:v>
      </x:c>
      <x:c r="C9" s="39" t="str">
        <x:v>Payroll withholding tax payment</x:v>
      </x:c>
      <x:c r="D9" s="39" t="str">
        <x:v>B02-003</x:v>
      </x:c>
      <x:c r="E9" s="40" t="n">
        <x:v>25000</x:v>
      </x:c>
      <x:c r="F9" s="40" t="n">
        <x:v>0</x:v>
      </x:c>
      <x:c r="G9" s="40" t="n">
        <x:f>G8-E9+F9</x:f>
        <x:v>615000</x:v>
      </x:c>
      <x:c r="H9" s="39" t="str">
        <x:v>Payroll tax payment</x:v>
      </x:c>
      <x:c r="I9" s="39" t="str">
        <x:v>FBR</x:v>
      </x:c>
      <x:c r="J9" s="39" t="str">
        <x:v>1034</x:v>
      </x:c>
      <x:c r="K9" s="39" t="str">
        <x:v>WHT Payroll</x:v>
      </x:c>
      <x:c r="L9" s="39" t="str">
        <x:v>Operating - Payments</x:v>
      </x:c>
      <x:c r="M9" s="39" t="str">
        <x:v>FS-000019</x:v>
      </x:c>
      <x:c r="N9" s="41" t="str">
        <x:v>Tax challan</x:v>
      </x:c>
    </x:row>
    <x:row r="10">
      <x:c r="A10" s="42" t="n">
        <x:v>45843</x:v>
      </x:c>
      <x:c r="B10" s="43" t="n">
        <x:v>45843</x:v>
      </x:c>
      <x:c r="C10" s="44" t="str">
        <x:v>Vendor withholding tax payment</x:v>
      </x:c>
      <x:c r="D10" s="44" t="str">
        <x:v>B02-004</x:v>
      </x:c>
      <x:c r="E10" s="45" t="n">
        <x:v>10000</x:v>
      </x:c>
      <x:c r="F10" s="45" t="n">
        <x:v>0</x:v>
      </x:c>
      <x:c r="G10" s="45" t="n">
        <x:f>G9-E10+F10</x:f>
        <x:v>605000</x:v>
      </x:c>
      <x:c r="H10" s="44" t="str">
        <x:v>Vendor tax payment</x:v>
      </x:c>
      <x:c r="I10" s="44" t="str">
        <x:v>FBR</x:v>
      </x:c>
      <x:c r="J10" s="44" t="str">
        <x:v>1036</x:v>
      </x:c>
      <x:c r="K10" s="44" t="str">
        <x:v>WHT Vendor</x:v>
      </x:c>
      <x:c r="L10" s="44" t="str">
        <x:v>Operating - Payments</x:v>
      </x:c>
      <x:c r="M10" s="44" t="str">
        <x:v>FS-000023</x:v>
      </x:c>
      <x:c r="N10" s="46" t="str">
        <x:v>Tax challan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UBL Collections — Raw Bank Statement</x:v>
      </x:c>
    </x:row>
    <x:row r="3">
      <x:c r="A3" s="6" t="str">
        <x:v>Bank</x:v>
      </x:c>
      <x:c r="B3" s="7" t="str">
        <x:v>UBL Collections</x:v>
      </x:c>
    </x:row>
    <x:row r="4">
      <x:c r="A4" s="6" t="str">
        <x:v>Bank GL Code</x:v>
      </x:c>
      <x:c r="B4" s="7" t="str">
        <x:v>1028</x:v>
      </x:c>
    </x:row>
    <x:row r="5">
      <x:c r="A5" s="6" t="str">
        <x:v>Opening Balance (PKR)</x:v>
      </x:c>
      <x:c r="B5" s="32" t="n">
        <x:v>300000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45841</x:v>
      </x:c>
      <x:c r="B7" s="38" t="n">
        <x:v>45841</x:v>
      </x:c>
      <x:c r="C7" s="39" t="str">
        <x:v>Customer collection — digital channel</x:v>
      </x:c>
      <x:c r="D7" s="39" t="str">
        <x:v>B03-001</x:v>
      </x:c>
      <x:c r="E7" s="40" t="n">
        <x:v>0</x:v>
      </x:c>
      <x:c r="F7" s="40" t="n">
        <x:v>600000</x:v>
      </x:c>
      <x:c r="G7" s="40" t="n">
        <x:f>$B$5-E7+F7</x:f>
        <x:v>900000</x:v>
      </x:c>
      <x:c r="H7" s="39" t="str">
        <x:v>Customer receipt</x:v>
      </x:c>
      <x:c r="I7" s="39" t="str">
        <x:v>Digital customers</x:v>
      </x:c>
      <x:c r="J7" s="39" t="str">
        <x:v>1050</x:v>
      </x:c>
      <x:c r="K7" s="39" t="str">
        <x:v>Customer Collections</x:v>
      </x:c>
      <x:c r="L7" s="39" t="str">
        <x:v>Operating - Receipts</x:v>
      </x:c>
      <x:c r="M7" s="39" t="str">
        <x:v>FS-000022</x:v>
      </x:c>
      <x:c r="N7" s="41" t="str">
        <x:v>Collection report</x:v>
      </x:c>
    </x:row>
    <x:row r="8">
      <x:c r="A8" s="37" t="n">
        <x:v>45842</x:v>
      </x:c>
      <x:c r="B8" s="38" t="n">
        <x:v>45842</x:v>
      </x:c>
      <x:c r="C8" s="39" t="str">
        <x:v>Commission paid to delivery partners</x:v>
      </x:c>
      <x:c r="D8" s="39" t="str">
        <x:v>B03-002</x:v>
      </x:c>
      <x:c r="E8" s="40" t="n">
        <x:v>190000</x:v>
      </x:c>
      <x:c r="F8" s="40" t="n">
        <x:v>0</x:v>
      </x:c>
      <x:c r="G8" s="40" t="n">
        <x:f>G7-E8+F8</x:f>
        <x:v>710000</x:v>
      </x:c>
      <x:c r="H8" s="39" t="str">
        <x:v>Commission payment</x:v>
      </x:c>
      <x:c r="I8" s="39" t="str">
        <x:v>Delivery partners</x:v>
      </x:c>
      <x:c r="J8" s="39" t="str">
        <x:v>1054</x:v>
      </x:c>
      <x:c r="K8" s="39" t="str">
        <x:v>Commission</x:v>
      </x:c>
      <x:c r="L8" s="39" t="str">
        <x:v>Operating - Payments</x:v>
      </x:c>
      <x:c r="M8" s="39" t="str">
        <x:v>FS-000006</x:v>
      </x:c>
      <x:c r="N8" s="41" t="str">
        <x:v>Commission schedule</x:v>
      </x:c>
    </x:row>
    <x:row r="9">
      <x:c r="A9" s="37" t="n">
        <x:v>45843</x:v>
      </x:c>
      <x:c r="B9" s="38" t="n">
        <x:v>45843</x:v>
      </x:c>
      <x:c r="C9" s="39" t="str">
        <x:v>Recovery received against prior advance</x:v>
      </x:c>
      <x:c r="D9" s="39" t="str">
        <x:v>B03-003</x:v>
      </x:c>
      <x:c r="E9" s="40" t="n">
        <x:v>0</x:v>
      </x:c>
      <x:c r="F9" s="40" t="n">
        <x:v>80000</x:v>
      </x:c>
      <x:c r="G9" s="40" t="n">
        <x:f>G8-E9+F9</x:f>
        <x:v>790000</x:v>
      </x:c>
      <x:c r="H9" s="39" t="str">
        <x:v>Recovery receipt</x:v>
      </x:c>
      <x:c r="I9" s="39" t="str">
        <x:v>Carrier partner</x:v>
      </x:c>
      <x:c r="J9" s="39" t="str">
        <x:v>1018</x:v>
      </x:c>
      <x:c r="K9" s="39" t="str">
        <x:v>Recovery</x:v>
      </x:c>
      <x:c r="L9" s="39" t="str">
        <x:v>Operating - Receipts</x:v>
      </x:c>
      <x:c r="M9" s="39" t="str">
        <x:v>FS-000002</x:v>
      </x:c>
      <x:c r="N9" s="41" t="str">
        <x:v>Recovery note</x:v>
      </x:c>
    </x:row>
    <x:row r="10">
      <x:c r="A10" s="42" t="n">
        <x:v>45844</x:v>
      </x:c>
      <x:c r="B10" s="43" t="n">
        <x:v>45844</x:v>
      </x:c>
      <x:c r="C10" s="44" t="str">
        <x:v>Transfer to MCB Reserve</x:v>
      </x:c>
      <x:c r="D10" s="44" t="str">
        <x:v>TRF-03-04</x:v>
      </x:c>
      <x:c r="E10" s="45" t="n">
        <x:v>250000</x:v>
      </x:c>
      <x:c r="F10" s="45" t="n">
        <x:v>0</x:v>
      </x:c>
      <x:c r="G10" s="45" t="n">
        <x:f>G9-E10+F10</x:f>
        <x:v>540000</x:v>
      </x:c>
      <x:c r="H10" s="44" t="str">
        <x:v>Inter-bank transfer</x:v>
      </x:c>
      <x:c r="I10" s="44" t="str">
        <x:v>MCB Reserve</x:v>
      </x:c>
      <x:c r="J10" s="44" t="str">
        <x:v>1031</x:v>
      </x:c>
      <x:c r="K10" s="44" t="str">
        <x:v>Contra</x:v>
      </x:c>
      <x:c r="L10" s="44" t="str">
        <x:v>Transfer</x:v>
      </x:c>
      <x:c r="M10" s="44" t="str">
        <x:v>FS-000020</x:v>
      </x:c>
      <x:c r="N10" s="46" t="str">
        <x:v>Transfer advice</x:v>
      </x:c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MCB Reserve — Raw Bank Statement</x:v>
      </x:c>
    </x:row>
    <x:row r="3">
      <x:c r="A3" s="6" t="str">
        <x:v>Bank</x:v>
      </x:c>
      <x:c r="B3" s="7" t="str">
        <x:v>MCB Reserve</x:v>
      </x:c>
    </x:row>
    <x:row r="4">
      <x:c r="A4" s="6" t="str">
        <x:v>Bank GL Code</x:v>
      </x:c>
      <x:c r="B4" s="7" t="str">
        <x:v>1031</x:v>
      </x:c>
    </x:row>
    <x:row r="5">
      <x:c r="A5" s="6" t="str">
        <x:v>Opening Balance (PKR)</x:v>
      </x:c>
      <x:c r="B5" s="32" t="n">
        <x:v>600000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45842</x:v>
      </x:c>
      <x:c r="B7" s="38" t="n">
        <x:v>45842</x:v>
      </x:c>
      <x:c r="C7" s="39" t="str">
        <x:v>Transfer received from UBL Collections</x:v>
      </x:c>
      <x:c r="D7" s="39" t="str">
        <x:v>TRF-03-04</x:v>
      </x:c>
      <x:c r="E7" s="40" t="n">
        <x:v>0</x:v>
      </x:c>
      <x:c r="F7" s="40" t="n">
        <x:v>250000</x:v>
      </x:c>
      <x:c r="G7" s="40" t="n">
        <x:f>$B$5-E7+F7</x:f>
        <x:v>850000</x:v>
      </x:c>
      <x:c r="H7" s="39" t="str">
        <x:v>Inter-bank transfer</x:v>
      </x:c>
      <x:c r="I7" s="39" t="str">
        <x:v>UBL Collections</x:v>
      </x:c>
      <x:c r="J7" s="39" t="str">
        <x:v>1028</x:v>
      </x:c>
      <x:c r="K7" s="39" t="str">
        <x:v>Contra</x:v>
      </x:c>
      <x:c r="L7" s="39" t="str">
        <x:v>Transfer</x:v>
      </x:c>
      <x:c r="M7" s="39" t="str">
        <x:v>FS-000020</x:v>
      </x:c>
      <x:c r="N7" s="41" t="str">
        <x:v>Transfer advice</x:v>
      </x:c>
    </x:row>
    <x:row r="8">
      <x:c r="A8" s="37" t="n">
        <x:v>45843</x:v>
      </x:c>
      <x:c r="B8" s="38" t="n">
        <x:v>45843</x:v>
      </x:c>
      <x:c r="C8" s="39" t="str">
        <x:v>Warehouse security deposit</x:v>
      </x:c>
      <x:c r="D8" s="39" t="str">
        <x:v>B04-002</x:v>
      </x:c>
      <x:c r="E8" s="40" t="n">
        <x:v>120000</x:v>
      </x:c>
      <x:c r="F8" s="40" t="n">
        <x:v>0</x:v>
      </x:c>
      <x:c r="G8" s="40" t="n">
        <x:f>G7-E8+F8</x:f>
        <x:v>730000</x:v>
      </x:c>
      <x:c r="H8" s="39" t="str">
        <x:v>Security deposit</x:v>
      </x:c>
      <x:c r="I8" s="39" t="str">
        <x:v>Warehouse landlord</x:v>
      </x:c>
      <x:c r="J8" s="39" t="str">
        <x:v>1021</x:v>
      </x:c>
      <x:c r="K8" s="39" t="str">
        <x:v>Security Deposit</x:v>
      </x:c>
      <x:c r="L8" s="39" t="str">
        <x:v>Investing - Payments</x:v>
      </x:c>
      <x:c r="M8" s="39" t="str">
        <x:v>FS-000007</x:v>
      </x:c>
      <x:c r="N8" s="41" t="str">
        <x:v>Deposit agreement</x:v>
      </x:c>
    </x:row>
    <x:row r="9">
      <x:c r="A9" s="37" t="n">
        <x:v>45844</x:v>
      </x:c>
      <x:c r="B9" s="38" t="n">
        <x:v>45844</x:v>
      </x:c>
      <x:c r="C9" s="39" t="str">
        <x:v>Office rent payment</x:v>
      </x:c>
      <x:c r="D9" s="39" t="str">
        <x:v>B04-003</x:v>
      </x:c>
      <x:c r="E9" s="40" t="n">
        <x:v>90000</x:v>
      </x:c>
      <x:c r="F9" s="40" t="n">
        <x:v>0</x:v>
      </x:c>
      <x:c r="G9" s="40" t="n">
        <x:f>G8-E9+F9</x:f>
        <x:v>640000</x:v>
      </x:c>
      <x:c r="H9" s="39" t="str">
        <x:v>Rent payment</x:v>
      </x:c>
      <x:c r="I9" s="39" t="str">
        <x:v>Office landlord</x:v>
      </x:c>
      <x:c r="J9" s="39" t="str">
        <x:v>1058</x:v>
      </x:c>
      <x:c r="K9" s="39" t="str">
        <x:v>Real Estate</x:v>
      </x:c>
      <x:c r="L9" s="39" t="str">
        <x:v>Operating - Payments</x:v>
      </x:c>
      <x:c r="M9" s="39" t="str">
        <x:v>FS-000012</x:v>
      </x:c>
      <x:c r="N9" s="41" t="str">
        <x:v>Rent invoice</x:v>
      </x:c>
    </x:row>
    <x:row r="10">
      <x:c r="A10" s="37" t="n">
        <x:v>45845</x:v>
      </x:c>
      <x:c r="B10" s="38" t="n">
        <x:v>45845</x:v>
      </x:c>
      <x:c r="C10" s="39" t="str">
        <x:v>Bank profit credited</x:v>
      </x:c>
      <x:c r="D10" s="39" t="str">
        <x:v>B04-004</x:v>
      </x:c>
      <x:c r="E10" s="40" t="n">
        <x:v>0</x:v>
      </x:c>
      <x:c r="F10" s="40" t="n">
        <x:v>14000</x:v>
      </x:c>
      <x:c r="G10" s="40" t="n">
        <x:f>G9-E10+F10</x:f>
        <x:v>654000</x:v>
      </x:c>
      <x:c r="H10" s="39" t="str">
        <x:v>Bank profit</x:v>
      </x:c>
      <x:c r="I10" s="39" t="str">
        <x:v>MCB</x:v>
      </x:c>
      <x:c r="J10" s="39" t="str">
        <x:v>1066</x:v>
      </x:c>
      <x:c r="K10" s="39" t="str">
        <x:v>Profit</x:v>
      </x:c>
      <x:c r="L10" s="39" t="str">
        <x:v>Operating - Receipts</x:v>
      </x:c>
      <x:c r="M10" s="39" t="str">
        <x:v>FS-000013</x:v>
      </x:c>
      <x:c r="N10" s="41" t="str">
        <x:v>Bank advice</x:v>
      </x:c>
    </x:row>
    <x:row r="11">
      <x:c r="A11" s="42" t="n">
        <x:v>45846</x:v>
      </x:c>
      <x:c r="B11" s="43" t="n">
        <x:v>45846</x:v>
      </x:c>
      <x:c r="C11" s="44" t="str">
        <x:v>Withholding tax on bank profit</x:v>
      </x:c>
      <x:c r="D11" s="44" t="str">
        <x:v>B04-005</x:v>
      </x:c>
      <x:c r="E11" s="45" t="n">
        <x:v>2000</x:v>
      </x:c>
      <x:c r="F11" s="45" t="n">
        <x:v>0</x:v>
      </x:c>
      <x:c r="G11" s="45" t="n">
        <x:f>G10-E11+F11</x:f>
        <x:v>652000</x:v>
      </x:c>
      <x:c r="H11" s="44" t="str">
        <x:v>Withholding tax</x:v>
      </x:c>
      <x:c r="I11" s="44" t="str">
        <x:v>MCB</x:v>
      </x:c>
      <x:c r="J11" s="44" t="str">
        <x:v>1045</x:v>
      </x:c>
      <x:c r="K11" s="44" t="str">
        <x:v>WHT Profit</x:v>
      </x:c>
      <x:c r="L11" s="44" t="str">
        <x:v>Operating - Payments</x:v>
      </x:c>
      <x:c r="M11" s="44" t="str">
        <x:v>FS-000014</x:v>
      </x:c>
      <x:c r="N11" s="46" t="str">
        <x:v>Bank advice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HBL North — Raw Bank Statement</x:v>
      </x:c>
    </x:row>
    <x:row r="3">
      <x:c r="A3" s="6" t="str">
        <x:v>Bank</x:v>
      </x:c>
      <x:c r="B3" s="7" t="str">
        <x:v>HBL North</x:v>
      </x:c>
    </x:row>
    <x:row r="4">
      <x:c r="A4" s="6" t="str">
        <x:v>Bank GL Code</x:v>
      </x:c>
      <x:c r="B4" s="7" t="str">
        <x:v>1029</x:v>
      </x:c>
    </x:row>
    <x:row r="5">
      <x:c r="A5" s="6" t="str">
        <x:v>Opening Balance (PKR)</x:v>
      </x:c>
      <x:c r="B5" s="32" t="n">
        <x:v>300000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45843</x:v>
      </x:c>
      <x:c r="B7" s="38" t="n">
        <x:v>45843</x:v>
      </x:c>
      <x:c r="C7" s="39" t="str">
        <x:v>Customer collection — northern region</x:v>
      </x:c>
      <x:c r="D7" s="39" t="str">
        <x:v>B05-001</x:v>
      </x:c>
      <x:c r="E7" s="40" t="n">
        <x:v>0</x:v>
      </x:c>
      <x:c r="F7" s="40" t="n">
        <x:v>750000</x:v>
      </x:c>
      <x:c r="G7" s="40" t="n">
        <x:f>$B$5-E7+F7</x:f>
        <x:v>1050000</x:v>
      </x:c>
      <x:c r="H7" s="39" t="str">
        <x:v>Customer receipt</x:v>
      </x:c>
      <x:c r="I7" s="39" t="str">
        <x:v>Northern merchants</x:v>
      </x:c>
      <x:c r="J7" s="39" t="str">
        <x:v>1050</x:v>
      </x:c>
      <x:c r="K7" s="39" t="str">
        <x:v>Customer Collections</x:v>
      </x:c>
      <x:c r="L7" s="39" t="str">
        <x:v>Operating - Receipts</x:v>
      </x:c>
      <x:c r="M7" s="39" t="str">
        <x:v>FS-000022</x:v>
      </x:c>
      <x:c r="N7" s="41" t="str">
        <x:v>Collection report</x:v>
      </x:c>
    </x:row>
    <x:row r="8">
      <x:c r="A8" s="37" t="n">
        <x:v>45844</x:v>
      </x:c>
      <x:c r="B8" s="38" t="n">
        <x:v>45844</x:v>
      </x:c>
      <x:c r="C8" s="39" t="str">
        <x:v>Offline marketing campaign</x:v>
      </x:c>
      <x:c r="D8" s="39" t="str">
        <x:v>B05-002</x:v>
      </x:c>
      <x:c r="E8" s="40" t="n">
        <x:v>110000</x:v>
      </x:c>
      <x:c r="F8" s="40" t="n">
        <x:v>0</x:v>
      </x:c>
      <x:c r="G8" s="40" t="n">
        <x:f>G7-E8+F8</x:f>
        <x:v>940000</x:v>
      </x:c>
      <x:c r="H8" s="39" t="str">
        <x:v>Marketing payment</x:v>
      </x:c>
      <x:c r="I8" s="39" t="str">
        <x:v>Media partner</x:v>
      </x:c>
      <x:c r="J8" s="39" t="str">
        <x:v>1061</x:v>
      </x:c>
      <x:c r="K8" s="39" t="str">
        <x:v>Offline Marketing &amp; Channels</x:v>
      </x:c>
      <x:c r="L8" s="39" t="str">
        <x:v>Operating - Payments</x:v>
      </x:c>
      <x:c r="M8" s="39" t="str">
        <x:v>FS-000016</x:v>
      </x:c>
      <x:c r="N8" s="41" t="str">
        <x:v>Campaign invoice</x:v>
      </x:c>
    </x:row>
    <x:row r="9">
      <x:c r="A9" s="37" t="n">
        <x:v>45845</x:v>
      </x:c>
      <x:c r="B9" s="38" t="n">
        <x:v>45845</x:v>
      </x:c>
      <x:c r="C9" s="39" t="str">
        <x:v>Professional services fee</x:v>
      </x:c>
      <x:c r="D9" s="39" t="str">
        <x:v>B05-003</x:v>
      </x:c>
      <x:c r="E9" s="40" t="n">
        <x:v>95000</x:v>
      </x:c>
      <x:c r="F9" s="40" t="n">
        <x:v>0</x:v>
      </x:c>
      <x:c r="G9" s="40" t="n">
        <x:f>G8-E9+F9</x:f>
        <x:v>845000</x:v>
      </x:c>
      <x:c r="H9" s="39" t="str">
        <x:v>Professional fee</x:v>
      </x:c>
      <x:c r="I9" s="39" t="str">
        <x:v>Consultant</x:v>
      </x:c>
      <x:c r="J9" s="39" t="str">
        <x:v>1060</x:v>
      </x:c>
      <x:c r="K9" s="39" t="str">
        <x:v>Professional Services</x:v>
      </x:c>
      <x:c r="L9" s="39" t="str">
        <x:v>Operating - Payments</x:v>
      </x:c>
      <x:c r="M9" s="39" t="str">
        <x:v>FS-000015</x:v>
      </x:c>
      <x:c r="N9" s="41" t="str">
        <x:v>Consultancy invoice</x:v>
      </x:c>
    </x:row>
    <x:row r="10">
      <x:c r="A10" s="42" t="n">
        <x:v>45846</x:v>
      </x:c>
      <x:c r="B10" s="43" t="n">
        <x:v>45846</x:v>
      </x:c>
      <x:c r="C10" s="44" t="str">
        <x:v>Transfer to Meezan Corporate</x:v>
      </x:c>
      <x:c r="D10" s="44" t="str">
        <x:v>TRF-05-06</x:v>
      </x:c>
      <x:c r="E10" s="45" t="n">
        <x:v>250000</x:v>
      </x:c>
      <x:c r="F10" s="45" t="n">
        <x:v>0</x:v>
      </x:c>
      <x:c r="G10" s="45" t="n">
        <x:f>G9-E10+F10</x:f>
        <x:v>595000</x:v>
      </x:c>
      <x:c r="H10" s="44" t="str">
        <x:v>Inter-bank transfer</x:v>
      </x:c>
      <x:c r="I10" s="44" t="str">
        <x:v>Meezan Corporate</x:v>
      </x:c>
      <x:c r="J10" s="44" t="str">
        <x:v>1030</x:v>
      </x:c>
      <x:c r="K10" s="44" t="str">
        <x:v>Contra</x:v>
      </x:c>
      <x:c r="L10" s="44" t="str">
        <x:v>Transfer</x:v>
      </x:c>
      <x:c r="M10" s="44" t="str">
        <x:v>FS-000020</x:v>
      </x:c>
      <x:c r="N10" s="46" t="str">
        <x:v>Transfer advice</x:v>
      </x:c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Meezan Corporate — Raw Bank Statement</x:v>
      </x:c>
    </x:row>
    <x:row r="3">
      <x:c r="A3" s="6" t="str">
        <x:v>Bank</x:v>
      </x:c>
      <x:c r="B3" s="7" t="str">
        <x:v>Meezan Corporate</x:v>
      </x:c>
    </x:row>
    <x:row r="4">
      <x:c r="A4" s="6" t="str">
        <x:v>Bank GL Code</x:v>
      </x:c>
      <x:c r="B4" s="7" t="str">
        <x:v>1030</x:v>
      </x:c>
    </x:row>
    <x:row r="5">
      <x:c r="A5" s="6" t="str">
        <x:v>Opening Balance (PKR)</x:v>
      </x:c>
      <x:c r="B5" s="32" t="n">
        <x:v>400000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45844</x:v>
      </x:c>
      <x:c r="B7" s="38" t="n">
        <x:v>45844</x:v>
      </x:c>
      <x:c r="C7" s="39" t="str">
        <x:v>Transfer received from HBL North</x:v>
      </x:c>
      <x:c r="D7" s="39" t="str">
        <x:v>TRF-05-06</x:v>
      </x:c>
      <x:c r="E7" s="40" t="n">
        <x:v>0</x:v>
      </x:c>
      <x:c r="F7" s="40" t="n">
        <x:v>250000</x:v>
      </x:c>
      <x:c r="G7" s="40" t="n">
        <x:f>$B$5-E7+F7</x:f>
        <x:v>650000</x:v>
      </x:c>
      <x:c r="H7" s="39" t="str">
        <x:v>Inter-bank transfer</x:v>
      </x:c>
      <x:c r="I7" s="39" t="str">
        <x:v>HBL North</x:v>
      </x:c>
      <x:c r="J7" s="39" t="str">
        <x:v>1029</x:v>
      </x:c>
      <x:c r="K7" s="39" t="str">
        <x:v>Contra</x:v>
      </x:c>
      <x:c r="L7" s="39" t="str">
        <x:v>Transfer</x:v>
      </x:c>
      <x:c r="M7" s="39" t="str">
        <x:v>FS-000020</x:v>
      </x:c>
      <x:c r="N7" s="41" t="str">
        <x:v>Transfer advice</x:v>
      </x:c>
    </x:row>
    <x:row r="8">
      <x:c r="A8" s="37" t="n">
        <x:v>45845</x:v>
      </x:c>
      <x:c r="B8" s="38" t="n">
        <x:v>45845</x:v>
      </x:c>
      <x:c r="C8" s="39" t="str">
        <x:v>Payroll disbursement — operations</x:v>
      </x:c>
      <x:c r="D8" s="39" t="str">
        <x:v>B06-002</x:v>
      </x:c>
      <x:c r="E8" s="40" t="n">
        <x:v>180000</x:v>
      </x:c>
      <x:c r="F8" s="40" t="n">
        <x:v>0</x:v>
      </x:c>
      <x:c r="G8" s="40" t="n">
        <x:f>G7-E8+F8</x:f>
        <x:v>470000</x:v>
      </x:c>
      <x:c r="H8" s="39" t="str">
        <x:v>Payroll payment</x:v>
      </x:c>
      <x:c r="I8" s="39" t="str">
        <x:v>Operations staff</x:v>
      </x:c>
      <x:c r="J8" s="39" t="str">
        <x:v>1056</x:v>
      </x:c>
      <x:c r="K8" s="39" t="str">
        <x:v>People</x:v>
      </x:c>
      <x:c r="L8" s="39" t="str">
        <x:v>Operating - Payments</x:v>
      </x:c>
      <x:c r="M8" s="39" t="str">
        <x:v>FS-000010</x:v>
      </x:c>
      <x:c r="N8" s="41" t="str">
        <x:v>Payroll register</x:v>
      </x:c>
    </x:row>
    <x:row r="9">
      <x:c r="A9" s="37" t="n">
        <x:v>45846</x:v>
      </x:c>
      <x:c r="B9" s="38" t="n">
        <x:v>45846</x:v>
      </x:c>
      <x:c r="C9" s="39" t="str">
        <x:v>Travel and entertainment reimbursement</x:v>
      </x:c>
      <x:c r="D9" s="39" t="str">
        <x:v>B06-003</x:v>
      </x:c>
      <x:c r="E9" s="40" t="n">
        <x:v>40000</x:v>
      </x:c>
      <x:c r="F9" s="40" t="n">
        <x:v>0</x:v>
      </x:c>
      <x:c r="G9" s="40" t="n">
        <x:f>G8-E9+F9</x:f>
        <x:v>430000</x:v>
      </x:c>
      <x:c r="H9" s="39" t="str">
        <x:v>Employee reimbursement</x:v>
      </x:c>
      <x:c r="I9" s="39" t="str">
        <x:v>Operations team</x:v>
      </x:c>
      <x:c r="J9" s="39" t="str">
        <x:v>1059</x:v>
      </x:c>
      <x:c r="K9" s="39" t="str">
        <x:v>Travel &amp; Entertainment</x:v>
      </x:c>
      <x:c r="L9" s="39" t="str">
        <x:v>Operating - Payments</x:v>
      </x:c>
      <x:c r="M9" s="39" t="str">
        <x:v>FS-000011</x:v>
      </x:c>
      <x:c r="N9" s="41" t="str">
        <x:v>Expense claim</x:v>
      </x:c>
    </x:row>
    <x:row r="10">
      <x:c r="A10" s="42" t="n">
        <x:v>45847</x:v>
      </x:c>
      <x:c r="B10" s="43" t="n">
        <x:v>45847</x:v>
      </x:c>
      <x:c r="C10" s="44" t="str">
        <x:v>Bank service charges</x:v>
      </x:c>
      <x:c r="D10" s="44" t="str">
        <x:v>B06-004</x:v>
      </x:c>
      <x:c r="E10" s="45" t="n">
        <x:v>10000</x:v>
      </x:c>
      <x:c r="F10" s="45" t="n">
        <x:v>0</x:v>
      </x:c>
      <x:c r="G10" s="45" t="n">
        <x:f>G9-E10+F10</x:f>
        <x:v>420000</x:v>
      </x:c>
      <x:c r="H10" s="44" t="str">
        <x:v>Bank charges</x:v>
      </x:c>
      <x:c r="I10" s="44" t="str">
        <x:v>Meezan</x:v>
      </x:c>
      <x:c r="J10" s="44" t="str">
        <x:v>1057</x:v>
      </x:c>
      <x:c r="K10" s="44" t="str">
        <x:v>Bank Charges</x:v>
      </x:c>
      <x:c r="L10" s="44" t="str">
        <x:v>Operating - Payments</x:v>
      </x:c>
      <x:c r="M10" s="44" t="str">
        <x:v>FS-000008</x:v>
      </x:c>
      <x:c r="N10" s="46" t="str">
        <x:v>Bank statement</x:v>
      </x:c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UBL Operations — Raw Bank Statement</x:v>
      </x:c>
    </x:row>
    <x:row r="3">
      <x:c r="A3" s="6" t="str">
        <x:v>Bank</x:v>
      </x:c>
      <x:c r="B3" s="7" t="str">
        <x:v>UBL Operations</x:v>
      </x:c>
    </x:row>
    <x:row r="4">
      <x:c r="A4" s="6" t="str">
        <x:v>Bank GL Code</x:v>
      </x:c>
      <x:c r="B4" s="7" t="str">
        <x:v>1028</x:v>
      </x:c>
    </x:row>
    <x:row r="5">
      <x:c r="A5" s="6" t="str">
        <x:v>Opening Balance (PKR)</x:v>
      </x:c>
      <x:c r="B5" s="32" t="n">
        <x:v>200000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45845</x:v>
      </x:c>
      <x:c r="B7" s="38" t="n">
        <x:v>45845</x:v>
      </x:c>
      <x:c r="C7" s="39" t="str">
        <x:v>Short-term loan proceeds</x:v>
      </x:c>
      <x:c r="D7" s="39" t="str">
        <x:v>B07-001</x:v>
      </x:c>
      <x:c r="E7" s="40" t="n">
        <x:v>0</x:v>
      </x:c>
      <x:c r="F7" s="40" t="n">
        <x:v>300000</x:v>
      </x:c>
      <x:c r="G7" s="40" t="n">
        <x:f>$B$5-E7+F7</x:f>
        <x:v>500000</x:v>
      </x:c>
      <x:c r="H7" s="39" t="str">
        <x:v>Loan receipt</x:v>
      </x:c>
      <x:c r="I7" s="39" t="str">
        <x:v>ABHI</x:v>
      </x:c>
      <x:c r="J7" s="39" t="str">
        <x:v>1041</x:v>
      </x:c>
      <x:c r="K7" s="39" t="str">
        <x:v>Loan</x:v>
      </x:c>
      <x:c r="L7" s="39" t="str">
        <x:v>Financing - Receipts</x:v>
      </x:c>
      <x:c r="M7" s="39" t="str">
        <x:v>FS-000005</x:v>
      </x:c>
      <x:c r="N7" s="41" t="str">
        <x:v>Loan advice</x:v>
      </x:c>
    </x:row>
    <x:row r="8">
      <x:c r="A8" s="37" t="n">
        <x:v>45846</x:v>
      </x:c>
      <x:c r="B8" s="38" t="n">
        <x:v>45846</x:v>
      </x:c>
      <x:c r="C8" s="39" t="str">
        <x:v>Advance income tax payment</x:v>
      </x:c>
      <x:c r="D8" s="39" t="str">
        <x:v>B07-002</x:v>
      </x:c>
      <x:c r="E8" s="40" t="n">
        <x:v>70000</x:v>
      </x:c>
      <x:c r="F8" s="40" t="n">
        <x:v>0</x:v>
      </x:c>
      <x:c r="G8" s="40" t="n">
        <x:f>G7-E8+F8</x:f>
        <x:v>430000</x:v>
      </x:c>
      <x:c r="H8" s="39" t="str">
        <x:v>Income tax payment</x:v>
      </x:c>
      <x:c r="I8" s="39" t="str">
        <x:v>FBR</x:v>
      </x:c>
      <x:c r="J8" s="39" t="str">
        <x:v>1044</x:v>
      </x:c>
      <x:c r="K8" s="39" t="str">
        <x:v>Income Tax</x:v>
      </x:c>
      <x:c r="L8" s="39" t="str">
        <x:v>Operating - Payments</x:v>
      </x:c>
      <x:c r="M8" s="39" t="str">
        <x:v>FS-000017</x:v>
      </x:c>
      <x:c r="N8" s="41" t="str">
        <x:v>Tax challan</x:v>
      </x:c>
    </x:row>
    <x:row r="9">
      <x:c r="A9" s="37" t="n">
        <x:v>45847</x:v>
      </x:c>
      <x:c r="B9" s="38" t="n">
        <x:v>45847</x:v>
      </x:c>
      <x:c r="C9" s="39" t="str">
        <x:v>Sales tax payment</x:v>
      </x:c>
      <x:c r="D9" s="39" t="str">
        <x:v>B07-003</x:v>
      </x:c>
      <x:c r="E9" s="40" t="n">
        <x:v>120000</x:v>
      </x:c>
      <x:c r="F9" s="40" t="n">
        <x:v>0</x:v>
      </x:c>
      <x:c r="G9" s="40" t="n">
        <x:f>G8-E9+F9</x:f>
        <x:v>310000</x:v>
      </x:c>
      <x:c r="H9" s="39" t="str">
        <x:v>Sales tax payment</x:v>
      </x:c>
      <x:c r="I9" s="39" t="str">
        <x:v>FBR</x:v>
      </x:c>
      <x:c r="J9" s="39" t="str">
        <x:v>1032</x:v>
      </x:c>
      <x:c r="K9" s="39" t="str">
        <x:v>Sales Tax</x:v>
      </x:c>
      <x:c r="L9" s="39" t="str">
        <x:v>Operating - Payments</x:v>
      </x:c>
      <x:c r="M9" s="39" t="str">
        <x:v>FS-000018</x:v>
      </x:c>
      <x:c r="N9" s="41" t="str">
        <x:v>Tax challan</x:v>
      </x:c>
    </x:row>
    <x:row r="10">
      <x:c r="A10" s="42" t="n">
        <x:v>45848</x:v>
      </x:c>
      <x:c r="B10" s="43" t="n">
        <x:v>45848</x:v>
      </x:c>
      <x:c r="C10" s="44" t="str">
        <x:v>Transfer to MCB Corporate</x:v>
      </x:c>
      <x:c r="D10" s="44" t="str">
        <x:v>TRF-07-08</x:v>
      </x:c>
      <x:c r="E10" s="45" t="n">
        <x:v>200000</x:v>
      </x:c>
      <x:c r="F10" s="45" t="n">
        <x:v>0</x:v>
      </x:c>
      <x:c r="G10" s="45" t="n">
        <x:f>G9-E10+F10</x:f>
        <x:v>110000</x:v>
      </x:c>
      <x:c r="H10" s="44" t="str">
        <x:v>Inter-bank transfer</x:v>
      </x:c>
      <x:c r="I10" s="44" t="str">
        <x:v>MCB Corporate</x:v>
      </x:c>
      <x:c r="J10" s="44" t="str">
        <x:v>1031</x:v>
      </x:c>
      <x:c r="K10" s="44" t="str">
        <x:v>Contra</x:v>
      </x:c>
      <x:c r="L10" s="44" t="str">
        <x:v>Transfer</x:v>
      </x:c>
      <x:c r="M10" s="44" t="str">
        <x:v>FS-000020</x:v>
      </x:c>
      <x:c r="N10" s="46" t="str">
        <x:v>Transfer advice</x:v>
      </x:c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MCB Corporate — Raw Bank Statement</x:v>
      </x:c>
    </x:row>
    <x:row r="3">
      <x:c r="A3" s="6" t="str">
        <x:v>Bank</x:v>
      </x:c>
      <x:c r="B3" s="7" t="str">
        <x:v>MCB Corporate</x:v>
      </x:c>
    </x:row>
    <x:row r="4">
      <x:c r="A4" s="6" t="str">
        <x:v>Bank GL Code</x:v>
      </x:c>
      <x:c r="B4" s="7" t="str">
        <x:v>1031</x:v>
      </x:c>
    </x:row>
    <x:row r="5">
      <x:c r="A5" s="6" t="str">
        <x:v>Opening Balance (PKR)</x:v>
      </x:c>
      <x:c r="B5" s="32" t="n">
        <x:v>200000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45846</x:v>
      </x:c>
      <x:c r="B7" s="38" t="n">
        <x:v>45846</x:v>
      </x:c>
      <x:c r="C7" s="39" t="str">
        <x:v>Transfer received from UBL Operations</x:v>
      </x:c>
      <x:c r="D7" s="39" t="str">
        <x:v>TRF-07-08</x:v>
      </x:c>
      <x:c r="E7" s="40" t="n">
        <x:v>0</x:v>
      </x:c>
      <x:c r="F7" s="40" t="n">
        <x:v>200000</x:v>
      </x:c>
      <x:c r="G7" s="40" t="n">
        <x:f>$B$5-E7+F7</x:f>
        <x:v>400000</x:v>
      </x:c>
      <x:c r="H7" s="39" t="str">
        <x:v>Inter-bank transfer</x:v>
      </x:c>
      <x:c r="I7" s="39" t="str">
        <x:v>UBL Operations</x:v>
      </x:c>
      <x:c r="J7" s="39" t="str">
        <x:v>1028</x:v>
      </x:c>
      <x:c r="K7" s="39" t="str">
        <x:v>Contra</x:v>
      </x:c>
      <x:c r="L7" s="39" t="str">
        <x:v>Transfer</x:v>
      </x:c>
      <x:c r="M7" s="39" t="str">
        <x:v>FS-000020</x:v>
      </x:c>
      <x:c r="N7" s="41" t="str">
        <x:v>Transfer advice</x:v>
      </x:c>
    </x:row>
    <x:row r="8">
      <x:c r="A8" s="37" t="n">
        <x:v>45847</x:v>
      </x:c>
      <x:c r="B8" s="38" t="n">
        <x:v>45847</x:v>
      </x:c>
      <x:c r="C8" s="39" t="str">
        <x:v>Holdco capital contribution</x:v>
      </x:c>
      <x:c r="D8" s="39" t="str">
        <x:v>B08-002</x:v>
      </x:c>
      <x:c r="E8" s="40" t="n">
        <x:v>0</x:v>
      </x:c>
      <x:c r="F8" s="40" t="n">
        <x:v>200000</x:v>
      </x:c>
      <x:c r="G8" s="40" t="n">
        <x:f>G7-E8+F8</x:f>
        <x:v>600000</x:v>
      </x:c>
      <x:c r="H8" s="39" t="str">
        <x:v>Capital contribution</x:v>
      </x:c>
      <x:c r="I8" s="39" t="str">
        <x:v>Holdco</x:v>
      </x:c>
      <x:c r="J8" s="39" t="str">
        <x:v>1037</x:v>
      </x:c>
      <x:c r="K8" s="39" t="str">
        <x:v>Holdco</x:v>
      </x:c>
      <x:c r="L8" s="39" t="str">
        <x:v>Financing - Receipts</x:v>
      </x:c>
      <x:c r="M8" s="39" t="str">
        <x:v>FS-000004</x:v>
      </x:c>
      <x:c r="N8" s="41" t="str">
        <x:v>Capital confirmation</x:v>
      </x:c>
    </x:row>
    <x:row r="9">
      <x:c r="A9" s="42" t="n">
        <x:v>45848</x:v>
      </x:c>
      <x:c r="B9" s="43" t="n">
        <x:v>45848</x:v>
      </x:c>
      <x:c r="C9" s="44" t="str">
        <x:v>Intercompany settlement payment</x:v>
      </x:c>
      <x:c r="D9" s="44" t="str">
        <x:v>B08-003</x:v>
      </x:c>
      <x:c r="E9" s="45" t="n">
        <x:v>150000</x:v>
      </x:c>
      <x:c r="F9" s="45" t="n">
        <x:v>0</x:v>
      </x:c>
      <x:c r="G9" s="45" t="n">
        <x:f>G8-E9+F9</x:f>
        <x:v>450000</x:v>
      </x:c>
      <x:c r="H9" s="44" t="str">
        <x:v>Intercompany payment</x:v>
      </x:c>
      <x:c r="I9" s="44" t="str">
        <x:v>ABHI</x:v>
      </x:c>
      <x:c r="J9" s="44" t="str">
        <x:v>1041</x:v>
      </x:c>
      <x:c r="K9" s="44" t="str">
        <x:v>Intercompany</x:v>
      </x:c>
      <x:c r="L9" s="44" t="str">
        <x:v>Financing - Payments</x:v>
      </x:c>
      <x:c r="M9" s="44" t="str">
        <x:v>FS-000001</x:v>
      </x:c>
      <x:c r="N9" s="46" t="str">
        <x:v>Settlement advice</x:v>
      </x:c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HBL Reserve — Raw Bank Statement</x:v>
      </x:c>
    </x:row>
    <x:row r="3">
      <x:c r="A3" s="6" t="str">
        <x:v>Bank</x:v>
      </x:c>
      <x:c r="B3" s="7" t="str">
        <x:v>HBL Reserve</x:v>
      </x:c>
    </x:row>
    <x:row r="4">
      <x:c r="A4" s="6" t="str">
        <x:v>Bank GL Code</x:v>
      </x:c>
      <x:c r="B4" s="7" t="str">
        <x:v>1029</x:v>
      </x:c>
    </x:row>
    <x:row r="5">
      <x:c r="A5" s="6" t="str">
        <x:v>Opening Balance (PKR)</x:v>
      </x:c>
      <x:c r="B5" s="32" t="n">
        <x:v>300000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45847</x:v>
      </x:c>
      <x:c r="B7" s="38" t="n">
        <x:v>45847</x:v>
      </x:c>
      <x:c r="C7" s="39" t="str">
        <x:v>Customer collection — reserve account</x:v>
      </x:c>
      <x:c r="D7" s="39" t="str">
        <x:v>B09-001</x:v>
      </x:c>
      <x:c r="E7" s="40" t="n">
        <x:v>0</x:v>
      </x:c>
      <x:c r="F7" s="40" t="n">
        <x:v>500000</x:v>
      </x:c>
      <x:c r="G7" s="40" t="n">
        <x:f>$B$5-E7+F7</x:f>
        <x:v>800000</x:v>
      </x:c>
      <x:c r="H7" s="39" t="str">
        <x:v>Customer receipt</x:v>
      </x:c>
      <x:c r="I7" s="39" t="str">
        <x:v>Merchants</x:v>
      </x:c>
      <x:c r="J7" s="39" t="str">
        <x:v>1050</x:v>
      </x:c>
      <x:c r="K7" s="39" t="str">
        <x:v>Customer Collections</x:v>
      </x:c>
      <x:c r="L7" s="39" t="str">
        <x:v>Operating - Receipts</x:v>
      </x:c>
      <x:c r="M7" s="39" t="str">
        <x:v>FS-000022</x:v>
      </x:c>
      <x:c r="N7" s="41" t="str">
        <x:v>Collection report</x:v>
      </x:c>
    </x:row>
    <x:row r="8">
      <x:c r="A8" s="37" t="n">
        <x:v>45848</x:v>
      </x:c>
      <x:c r="B8" s="38" t="n">
        <x:v>45848</x:v>
      </x:c>
      <x:c r="C8" s="39" t="str">
        <x:v>Partners margin settlement</x:v>
      </x:c>
      <x:c r="D8" s="39" t="str">
        <x:v>B09-002</x:v>
      </x:c>
      <x:c r="E8" s="40" t="n">
        <x:v>100000</x:v>
      </x:c>
      <x:c r="F8" s="40" t="n">
        <x:v>0</x:v>
      </x:c>
      <x:c r="G8" s="40" t="n">
        <x:f>G7-E8+F8</x:f>
        <x:v>700000</x:v>
      </x:c>
      <x:c r="H8" s="39" t="str">
        <x:v>Partners margin</x:v>
      </x:c>
      <x:c r="I8" s="39" t="str">
        <x:v>Partner network</x:v>
      </x:c>
      <x:c r="J8" s="39" t="str">
        <x:v>1068</x:v>
      </x:c>
      <x:c r="K8" s="39" t="str">
        <x:v>Partners Margin</x:v>
      </x:c>
      <x:c r="L8" s="39" t="str">
        <x:v>Operating - Payments</x:v>
      </x:c>
      <x:c r="M8" s="39" t="str">
        <x:v>FS-000009</x:v>
      </x:c>
      <x:c r="N8" s="41" t="str">
        <x:v>Settlement schedule</x:v>
      </x:c>
    </x:row>
    <x:row r="9">
      <x:c r="A9" s="37" t="n">
        <x:v>45849</x:v>
      </x:c>
      <x:c r="B9" s="38" t="n">
        <x:v>45849</x:v>
      </x:c>
      <x:c r="C9" s="39" t="str">
        <x:v>Petty cash withdrawal</x:v>
      </x:c>
      <x:c r="D9" s="39" t="str">
        <x:v>B09-003</x:v>
      </x:c>
      <x:c r="E9" s="40" t="n">
        <x:v>30000</x:v>
      </x:c>
      <x:c r="F9" s="40" t="n">
        <x:v>0</x:v>
      </x:c>
      <x:c r="G9" s="40" t="n">
        <x:f>G8-E9+F9</x:f>
        <x:v>670000</x:v>
      </x:c>
      <x:c r="H9" s="39" t="str">
        <x:v>Cash withdrawal</x:v>
      </x:c>
      <x:c r="I9" s="39" t="str">
        <x:v>Petty cash custodian</x:v>
      </x:c>
      <x:c r="J9" s="39" t="str">
        <x:v>1068</x:v>
      </x:c>
      <x:c r="K9" s="39" t="str">
        <x:v>Cash Withdrawal</x:v>
      </x:c>
      <x:c r="L9" s="39" t="str">
        <x:v>Operating - Payments</x:v>
      </x:c>
      <x:c r="M9" s="39" t="str">
        <x:v>FS-000024</x:v>
      </x:c>
      <x:c r="N9" s="41" t="str">
        <x:v>Cash withdrawal slip</x:v>
      </x:c>
    </x:row>
    <x:row r="10">
      <x:c r="A10" s="42" t="n">
        <x:v>45850</x:v>
      </x:c>
      <x:c r="B10" s="43" t="n">
        <x:v>45850</x:v>
      </x:c>
      <x:c r="C10" s="44" t="str">
        <x:v>Transfer to HBL Digital</x:v>
      </x:c>
      <x:c r="D10" s="44" t="str">
        <x:v>TRF-09-10</x:v>
      </x:c>
      <x:c r="E10" s="45" t="n">
        <x:v>100000</x:v>
      </x:c>
      <x:c r="F10" s="45" t="n">
        <x:v>0</x:v>
      </x:c>
      <x:c r="G10" s="45" t="n">
        <x:f>G9-E10+F10</x:f>
        <x:v>570000</x:v>
      </x:c>
      <x:c r="H10" s="44" t="str">
        <x:v>Inter-bank transfer</x:v>
      </x:c>
      <x:c r="I10" s="44" t="str">
        <x:v>HBL Digital</x:v>
      </x:c>
      <x:c r="J10" s="44" t="str">
        <x:v>1029</x:v>
      </x:c>
      <x:c r="K10" s="44" t="str">
        <x:v>Contra</x:v>
      </x:c>
      <x:c r="L10" s="44" t="str">
        <x:v>Transfer</x:v>
      </x:c>
      <x:c r="M10" s="44" t="str">
        <x:v>FS-000020</x:v>
      </x:c>
      <x:c r="N10" s="46" t="str">
        <x:v>Transfer advice</x:v>
      </x:c>
    </x:row>
  </x:sheetData>
  <x:mergeCells>
    <x:mergeCell ref="A1:N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2" hidden="0" customWidth="1"/>
    <x:col min="9" max="9" width="24" hidden="0" customWidth="1"/>
    <x:col min="10" max="10" width="14" hidden="0" customWidth="1"/>
    <x:col min="11" max="11" width="27" hidden="0" customWidth="1"/>
    <x:col min="12" max="12" width="23" hidden="0" customWidth="1"/>
    <x:col min="13" max="13" width="14" hidden="0" customWidth="1"/>
    <x:col min="14" max="14" width="26" hidden="0" customWidth="1"/>
  </x:cols>
  <x:sheetData>
    <x:row r="1" ht="26" customHeight="1">
      <x:c r="A1" s="3" t="str">
        <x:v>HBL Digital — Raw Bank Statement</x:v>
      </x:c>
    </x:row>
    <x:row r="3">
      <x:c r="A3" s="6" t="str">
        <x:v>Bank</x:v>
      </x:c>
      <x:c r="B3" s="7" t="str">
        <x:v>HBL Digital</x:v>
      </x:c>
    </x:row>
    <x:row r="4">
      <x:c r="A4" s="6" t="str">
        <x:v>Bank GL Code</x:v>
      </x:c>
      <x:c r="B4" s="7" t="str">
        <x:v>1029</x:v>
      </x:c>
    </x:row>
    <x:row r="5">
      <x:c r="A5" s="6" t="str">
        <x:v>Opening Balance (PKR)</x:v>
      </x:c>
      <x:c r="B5" s="32" t="n">
        <x:v>250000</x:v>
      </x:c>
    </x:row>
    <x:row r="6">
      <x:c r="A6" s="19" t="str">
        <x:v>Transaction Date</x:v>
      </x:c>
      <x:c r="B6" s="20" t="str">
        <x:v>Value Date</x:v>
      </x:c>
      <x:c r="C6" s="20" t="str">
        <x:v>Description</x:v>
      </x:c>
      <x:c r="D6" s="20" t="str">
        <x:v>Reference</x:v>
      </x:c>
      <x:c r="E6" s="20" t="str">
        <x:v>Debit (PKR)</x:v>
      </x:c>
      <x:c r="F6" s="20" t="str">
        <x:v>Credit (PKR)</x:v>
      </x:c>
      <x:c r="G6" s="20" t="str">
        <x:v>Balance (PKR)</x:v>
      </x:c>
      <x:c r="H6" s="20" t="str">
        <x:v>Transaction Type</x:v>
      </x:c>
      <x:c r="I6" s="20" t="str">
        <x:v>Counterparty</x:v>
      </x:c>
      <x:c r="J6" s="20" t="str">
        <x:v>Offset GL Code</x:v>
      </x:c>
      <x:c r="K6" s="20" t="str">
        <x:v>FS Taggings name</x:v>
      </x:c>
      <x:c r="L6" s="20" t="str">
        <x:v>Cash Flow Category</x:v>
      </x:c>
      <x:c r="M6" s="20" t="str">
        <x:v>FS Tag</x:v>
      </x:c>
      <x:c r="N6" s="21" t="str">
        <x:v>Supporting Document</x:v>
      </x:c>
    </x:row>
    <x:row r="7">
      <x:c r="A7" s="37" t="n">
        <x:v>45848</x:v>
      </x:c>
      <x:c r="B7" s="38" t="n">
        <x:v>45848</x:v>
      </x:c>
      <x:c r="C7" s="39" t="str">
        <x:v>Transfer received from HBL Reserve</x:v>
      </x:c>
      <x:c r="D7" s="39" t="str">
        <x:v>TRF-09-10</x:v>
      </x:c>
      <x:c r="E7" s="40" t="n">
        <x:v>0</x:v>
      </x:c>
      <x:c r="F7" s="40" t="n">
        <x:v>100000</x:v>
      </x:c>
      <x:c r="G7" s="40" t="n">
        <x:f>$B$5-E7+F7</x:f>
        <x:v>350000</x:v>
      </x:c>
      <x:c r="H7" s="39" t="str">
        <x:v>Inter-bank transfer</x:v>
      </x:c>
      <x:c r="I7" s="39" t="str">
        <x:v>HBL Reserve</x:v>
      </x:c>
      <x:c r="J7" s="39" t="str">
        <x:v>1029</x:v>
      </x:c>
      <x:c r="K7" s="39" t="str">
        <x:v>Contra</x:v>
      </x:c>
      <x:c r="L7" s="39" t="str">
        <x:v>Transfer</x:v>
      </x:c>
      <x:c r="M7" s="39" t="str">
        <x:v>FS-000020</x:v>
      </x:c>
      <x:c r="N7" s="41" t="str">
        <x:v>Transfer advice</x:v>
      </x:c>
    </x:row>
    <x:row r="8">
      <x:c r="A8" s="37" t="n">
        <x:v>45849</x:v>
      </x:c>
      <x:c r="B8" s="38" t="n">
        <x:v>45849</x:v>
      </x:c>
      <x:c r="C8" s="39" t="str">
        <x:v>Customer collection — digital wallet</x:v>
      </x:c>
      <x:c r="D8" s="39" t="str">
        <x:v>B10-002</x:v>
      </x:c>
      <x:c r="E8" s="40" t="n">
        <x:v>0</x:v>
      </x:c>
      <x:c r="F8" s="40" t="n">
        <x:v>200000</x:v>
      </x:c>
      <x:c r="G8" s="40" t="n">
        <x:f>G7-E8+F8</x:f>
        <x:v>550000</x:v>
      </x:c>
      <x:c r="H8" s="39" t="str">
        <x:v>Customer receipt</x:v>
      </x:c>
      <x:c r="I8" s="39" t="str">
        <x:v>Digital wallet</x:v>
      </x:c>
      <x:c r="J8" s="39" t="str">
        <x:v>1050</x:v>
      </x:c>
      <x:c r="K8" s="39" t="str">
        <x:v>Customer Collections</x:v>
      </x:c>
      <x:c r="L8" s="39" t="str">
        <x:v>Operating - Receipts</x:v>
      </x:c>
      <x:c r="M8" s="39" t="str">
        <x:v>FS-000022</x:v>
      </x:c>
      <x:c r="N8" s="41" t="str">
        <x:v>Collection report</x:v>
      </x:c>
    </x:row>
    <x:row r="9">
      <x:c r="A9" s="37" t="n">
        <x:v>45850</x:v>
      </x:c>
      <x:c r="B9" s="38" t="n">
        <x:v>45850</x:v>
      </x:c>
      <x:c r="C9" s="39" t="str">
        <x:v>Bank service charges</x:v>
      </x:c>
      <x:c r="D9" s="39" t="str">
        <x:v>B10-003</x:v>
      </x:c>
      <x:c r="E9" s="40" t="n">
        <x:v>6000</x:v>
      </x:c>
      <x:c r="F9" s="40" t="n">
        <x:v>0</x:v>
      </x:c>
      <x:c r="G9" s="40" t="n">
        <x:f>G8-E9+F9</x:f>
        <x:v>544000</x:v>
      </x:c>
      <x:c r="H9" s="39" t="str">
        <x:v>Bank charges</x:v>
      </x:c>
      <x:c r="I9" s="39" t="str">
        <x:v>HBL</x:v>
      </x:c>
      <x:c r="J9" s="39" t="str">
        <x:v>1057</x:v>
      </x:c>
      <x:c r="K9" s="39" t="str">
        <x:v>Bank Charges</x:v>
      </x:c>
      <x:c r="L9" s="39" t="str">
        <x:v>Operating - Payments</x:v>
      </x:c>
      <x:c r="M9" s="39" t="str">
        <x:v>FS-000008</x:v>
      </x:c>
      <x:c r="N9" s="41" t="str">
        <x:v>Bank statement</x:v>
      </x:c>
    </x:row>
    <x:row r="10">
      <x:c r="A10" s="42" t="n">
        <x:v>45851</x:v>
      </x:c>
      <x:c r="B10" s="43" t="n">
        <x:v>45851</x:v>
      </x:c>
      <x:c r="C10" s="44" t="str">
        <x:v>Vendor withholding tax payment</x:v>
      </x:c>
      <x:c r="D10" s="44" t="str">
        <x:v>B10-004</x:v>
      </x:c>
      <x:c r="E10" s="45" t="n">
        <x:v>12000</x:v>
      </x:c>
      <x:c r="F10" s="45" t="n">
        <x:v>0</x:v>
      </x:c>
      <x:c r="G10" s="45" t="n">
        <x:f>G9-E10+F10</x:f>
        <x:v>532000</x:v>
      </x:c>
      <x:c r="H10" s="44" t="str">
        <x:v>Vendor tax payment</x:v>
      </x:c>
      <x:c r="I10" s="44" t="str">
        <x:v>FBR</x:v>
      </x:c>
      <x:c r="J10" s="44" t="str">
        <x:v>1036</x:v>
      </x:c>
      <x:c r="K10" s="44" t="str">
        <x:v>WHT Vendor</x:v>
      </x:c>
      <x:c r="L10" s="44" t="str">
        <x:v>Operating - Payments</x:v>
      </x:c>
      <x:c r="M10" s="44" t="str">
        <x:v>FS-000023</x:v>
      </x:c>
      <x:c r="N10" s="46" t="str">
        <x:v>Tax challan</x:v>
      </x:c>
    </x:row>
  </x:sheetData>
  <x:mergeCells>
    <x:mergeCell ref="A1:N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44" hidden="0" customWidth="1"/>
    <x:col min="5" max="5" width="17" hidden="0" customWidth="1"/>
    <x:col min="6" max="6" width="13" hidden="0" customWidth="1"/>
    <x:col min="7" max="7" width="13" hidden="0" customWidth="1"/>
    <x:col min="8" max="8" width="21" hidden="0" customWidth="1"/>
    <x:col min="9" max="9" width="23" hidden="0" customWidth="1"/>
    <x:col min="10" max="10" width="25" hidden="0" customWidth="1"/>
    <x:col min="11" max="11" width="14" hidden="0" customWidth="1"/>
    <x:col min="12" max="12" width="30" hidden="0" customWidth="1"/>
    <x:col min="13" max="13" width="14" hidden="0" customWidth="1"/>
    <x:col min="14" max="14" width="30" hidden="0" customWidth="1"/>
    <x:col min="15" max="15" width="16" hidden="0" customWidth="1"/>
    <x:col min="16" max="16" width="25" hidden="0" customWidth="1"/>
    <x:col min="17" max="17" width="15" hidden="0" customWidth="1"/>
    <x:col min="18" max="18" width="17" hidden="0" customWidth="1"/>
    <x:col min="19" max="19" width="14" hidden="0" customWidth="1"/>
    <x:col min="20" max="20" width="23" hidden="0" customWidth="1"/>
    <x:col min="21" max="21" width="27" hidden="0" customWidth="1"/>
    <x:col min="22" max="22" width="14" hidden="0" customWidth="1"/>
  </x:cols>
  <x:sheetData>
    <x:row r="1" ht="26" customHeight="1">
      <x:c r="A1" s="3" t="str">
        <x:v>Transaction Mapping and Review</x:v>
      </x:c>
    </x:row>
    <x:row r="2">
      <x:c r="A2" s="19" t="str">
        <x:v>Map ID</x:v>
      </x:c>
      <x:c r="B2" s="20" t="str">
        <x:v>Bank</x:v>
      </x:c>
      <x:c r="C2" s="20" t="str">
        <x:v>Date</x:v>
      </x:c>
      <x:c r="D2" s="20" t="str">
        <x:v>Description</x:v>
      </x:c>
      <x:c r="E2" s="20" t="str">
        <x:v>Reference</x:v>
      </x:c>
      <x:c r="F2" s="20" t="str">
        <x:v>Debit</x:v>
      </x:c>
      <x:c r="G2" s="20" t="str">
        <x:v>Credit</x:v>
      </x:c>
      <x:c r="H2" s="20" t="str">
        <x:v>Transaction Type</x:v>
      </x:c>
      <x:c r="I2" s="20" t="str">
        <x:v>Counterparty</x:v>
      </x:c>
      <x:c r="J2" s="20" t="str">
        <x:v>Supporting Document</x:v>
      </x:c>
      <x:c r="K2" s="20" t="str">
        <x:v>Bank GL Code</x:v>
      </x:c>
      <x:c r="L2" s="20" t="str">
        <x:v>Bank GL Name</x:v>
      </x:c>
      <x:c r="M2" s="20" t="str">
        <x:v>Offset GL Code</x:v>
      </x:c>
      <x:c r="N2" s="20" t="str">
        <x:v>Offset GL Name</x:v>
      </x:c>
      <x:c r="O2" s="20" t="str">
        <x:v>Tax Treatment</x:v>
      </x:c>
      <x:c r="P2" s="20" t="str">
        <x:v>Entity</x:v>
      </x:c>
      <x:c r="Q2" s="20" t="str">
        <x:v>Review Status</x:v>
      </x:c>
      <x:c r="R2" s="20" t="str">
        <x:v>Transfer Match ID</x:v>
      </x:c>
      <x:c r="S2" s="20" t="str">
        <x:v>Posting Status</x:v>
      </x:c>
      <x:c r="T2" s="20" t="str">
        <x:v>Cash Flow Category</x:v>
      </x:c>
      <x:c r="U2" s="20" t="str">
        <x:v>FS Taggings name</x:v>
      </x:c>
      <x:c r="V2" s="21" t="str">
        <x:v>FS Tag</x:v>
      </x:c>
    </x:row>
    <x:row r="3">
      <x:c r="A3" s="47" t="str">
        <x:v>MAP-001</x:v>
      </x:c>
      <x:c r="B3" s="39" t="str">
        <x:v>HBL Main</x:v>
      </x:c>
      <x:c r="C3" s="38" t="n">
        <x:f>'Bank 01 - HBL Main'!A7</x:f>
        <x:v>45839</x:v>
      </x:c>
      <x:c r="D3" s="39" t="str">
        <x:f>'Bank 01 - HBL Main'!C7</x:f>
        <x:v>Customer collection — merchant settlement</x:v>
      </x:c>
      <x:c r="E3" s="39" t="str">
        <x:f>'Bank 01 - HBL Main'!D7</x:f>
        <x:v>B01-001</x:v>
      </x:c>
      <x:c r="F3" s="40" t="n">
        <x:f>'Bank 01 - HBL Main'!E7</x:f>
        <x:v>0</x:v>
      </x:c>
      <x:c r="G3" s="40" t="n">
        <x:f>'Bank 01 - HBL Main'!F7</x:f>
        <x:v>800000</x:v>
      </x:c>
      <x:c r="H3" s="39" t="str">
        <x:f>'Bank 01 - HBL Main'!H7</x:f>
        <x:v>Customer receipt</x:v>
      </x:c>
      <x:c r="I3" s="39" t="str">
        <x:f>'Bank 01 - HBL Main'!I7</x:f>
        <x:v>Merchant settlement</x:v>
      </x:c>
      <x:c r="J3" s="39" t="str">
        <x:f>'Bank 01 - HBL Main'!N7</x:f>
        <x:v>Merchant collection report</x:v>
      </x:c>
      <x:c r="K3" s="39" t="str">
        <x:v>1029</x:v>
      </x:c>
      <x:c r="L3" s="39" t="str">
        <x:v>PK55HABB0022827200508103</x:v>
      </x:c>
      <x:c r="M3" s="39" t="str">
        <x:f>'Bank 01 - HBL Main'!J7</x:f>
        <x:v>1050</x:v>
      </x:c>
      <x:c r="N3" s="39" t="str">
        <x:v>Sales revenue</x:v>
      </x:c>
      <x:c r="O3" s="39" t="str">
        <x:v>N/A</x:v>
      </x:c>
      <x:c r="P3" s="39" t="str">
        <x:v>TRUCK IT IN PVT LTD</x:v>
      </x:c>
      <x:c r="Q3" s="39" t="str">
        <x:v>Approved</x:v>
      </x:c>
      <x:c r="R3" s="39"/>
      <x:c r="S3" s="39" t="str">
        <x:v>Post</x:v>
      </x:c>
      <x:c r="T3" s="39" t="str">
        <x:f>'Bank 01 - HBL Main'!L7</x:f>
        <x:v>Operating - Receipts</x:v>
      </x:c>
      <x:c r="U3" s="39" t="str">
        <x:f>'Bank 01 - HBL Main'!K7</x:f>
        <x:v>Customer Collections</x:v>
      </x:c>
      <x:c r="V3" s="41" t="str">
        <x:f>'Bank 01 - HBL Main'!M7</x:f>
        <x:v>FS-000022</x:v>
      </x:c>
    </x:row>
    <x:row r="4">
      <x:c r="A4" s="47" t="str">
        <x:v>MAP-002</x:v>
      </x:c>
      <x:c r="B4" s="39" t="str">
        <x:v>HBL Main</x:v>
      </x:c>
      <x:c r="C4" s="38" t="n">
        <x:f>'Bank 01 - HBL Main'!A8</x:f>
        <x:v>45840</x:v>
      </x:c>
      <x:c r="D4" s="39" t="str">
        <x:f>'Bank 01 - HBL Main'!C8</x:f>
        <x:v>Vendor payout — carrier settlement</x:v>
      </x:c>
      <x:c r="E4" s="39" t="str">
        <x:f>'Bank 01 - HBL Main'!D8</x:f>
        <x:v>B01-002</x:v>
      </x:c>
      <x:c r="F4" s="40" t="n">
        <x:f>'Bank 01 - HBL Main'!E8</x:f>
        <x:v>450000</x:v>
      </x:c>
      <x:c r="G4" s="40" t="n">
        <x:f>'Bank 01 - HBL Main'!F8</x:f>
        <x:v>0</x:v>
      </x:c>
      <x:c r="H4" s="39" t="str">
        <x:f>'Bank 01 - HBL Main'!H8</x:f>
        <x:v>Carrier payment</x:v>
      </x:c>
      <x:c r="I4" s="39" t="str">
        <x:f>'Bank 01 - HBL Main'!I8</x:f>
        <x:v>Carrier partner</x:v>
      </x:c>
      <x:c r="J4" s="39" t="str">
        <x:f>'Bank 01 - HBL Main'!N8</x:f>
        <x:v>Carrier invoice</x:v>
      </x:c>
      <x:c r="K4" s="39" t="str">
        <x:v>1029</x:v>
      </x:c>
      <x:c r="L4" s="39" t="str">
        <x:v>PK55HABB0022827200508103</x:v>
      </x:c>
      <x:c r="M4" s="39" t="str">
        <x:f>'Bank 01 - HBL Main'!J8</x:f>
        <x:v>1054</x:v>
      </x:c>
      <x:c r="N4" s="39" t="str">
        <x:v>Trucker's Commission</x:v>
      </x:c>
      <x:c r="O4" s="39" t="str">
        <x:v>N/A</x:v>
      </x:c>
      <x:c r="P4" s="39" t="str">
        <x:v>TRUCK IT IN PVT LTD</x:v>
      </x:c>
      <x:c r="Q4" s="39" t="str">
        <x:v>Approved</x:v>
      </x:c>
      <x:c r="R4" s="39"/>
      <x:c r="S4" s="39" t="str">
        <x:v>Post</x:v>
      </x:c>
      <x:c r="T4" s="39" t="str">
        <x:f>'Bank 01 - HBL Main'!L8</x:f>
        <x:v>Operating - Payments</x:v>
      </x:c>
      <x:c r="U4" s="39" t="str">
        <x:f>'Bank 01 - HBL Main'!K8</x:f>
        <x:v>Vendor Payout</x:v>
      </x:c>
      <x:c r="V4" s="41" t="str">
        <x:f>'Bank 01 - HBL Main'!M8</x:f>
        <x:v>FS-000003</x:v>
      </x:c>
    </x:row>
    <x:row r="5">
      <x:c r="A5" s="47" t="str">
        <x:v>MAP-003</x:v>
      </x:c>
      <x:c r="B5" s="39" t="str">
        <x:v>HBL Main</x:v>
      </x:c>
      <x:c r="C5" s="38" t="n">
        <x:f>'Bank 01 - HBL Main'!A9</x:f>
        <x:v>45841</x:v>
      </x:c>
      <x:c r="D5" s="39" t="str">
        <x:f>'Bank 01 - HBL Main'!C9</x:f>
        <x:v>Cloud hosting and software payment</x:v>
      </x:c>
      <x:c r="E5" s="39" t="str">
        <x:f>'Bank 01 - HBL Main'!D9</x:f>
        <x:v>B01-003</x:v>
      </x:c>
      <x:c r="F5" s="40" t="n">
        <x:f>'Bank 01 - HBL Main'!E9</x:f>
        <x:v>75000</x:v>
      </x:c>
      <x:c r="G5" s="40" t="n">
        <x:f>'Bank 01 - HBL Main'!F9</x:f>
        <x:v>0</x:v>
      </x:c>
      <x:c r="H5" s="39" t="str">
        <x:f>'Bank 01 - HBL Main'!H9</x:f>
        <x:v>Technology payment</x:v>
      </x:c>
      <x:c r="I5" s="39" t="str">
        <x:f>'Bank 01 - HBL Main'!I9</x:f>
        <x:v>Cloud services provider</x:v>
      </x:c>
      <x:c r="J5" s="39" t="str">
        <x:f>'Bank 01 - HBL Main'!N9</x:f>
        <x:v>Vendor invoice</x:v>
      </x:c>
      <x:c r="K5" s="39" t="str">
        <x:v>1029</x:v>
      </x:c>
      <x:c r="L5" s="39" t="str">
        <x:v>PK55HABB0022827200508103</x:v>
      </x:c>
      <x:c r="M5" s="39" t="str">
        <x:f>'Bank 01 - HBL Main'!J9</x:f>
        <x:v>1068</x:v>
      </x:c>
      <x:c r="N5" s="39" t="str">
        <x:v>Other Expenses</x:v>
      </x:c>
      <x:c r="O5" s="39" t="str">
        <x:v>N/A</x:v>
      </x:c>
      <x:c r="P5" s="39" t="str">
        <x:v>TRUCK IT IN PVT LTD</x:v>
      </x:c>
      <x:c r="Q5" s="39" t="str">
        <x:v>Approved</x:v>
      </x:c>
      <x:c r="R5" s="39"/>
      <x:c r="S5" s="39" t="str">
        <x:v>Post</x:v>
      </x:c>
      <x:c r="T5" s="39" t="str">
        <x:f>'Bank 01 - HBL Main'!L9</x:f>
        <x:v>Operating - Payments</x:v>
      </x:c>
      <x:c r="U5" s="39" t="str">
        <x:f>'Bank 01 - HBL Main'!K9</x:f>
        <x:v>Tech</x:v>
      </x:c>
      <x:c r="V5" s="41" t="str">
        <x:f>'Bank 01 - HBL Main'!M9</x:f>
        <x:v>FS-000021</x:v>
      </x:c>
    </x:row>
    <x:row r="6">
      <x:c r="A6" s="47" t="str">
        <x:v>MAP-004</x:v>
      </x:c>
      <x:c r="B6" s="39" t="str">
        <x:v>HBL Main</x:v>
      </x:c>
      <x:c r="C6" s="38" t="n">
        <x:f>'Bank 01 - HBL Main'!A10</x:f>
        <x:v>45842</x:v>
      </x:c>
      <x:c r="D6" s="39" t="str">
        <x:f>'Bank 01 - HBL Main'!C10</x:f>
        <x:v>Transfer to Meezan Payroll</x:v>
      </x:c>
      <x:c r="E6" s="39" t="str">
        <x:f>'Bank 01 - HBL Main'!D10</x:f>
        <x:v>TRF-01-02</x:v>
      </x:c>
      <x:c r="F6" s="40" t="n">
        <x:f>'Bank 01 - HBL Main'!E10</x:f>
        <x:v>200000</x:v>
      </x:c>
      <x:c r="G6" s="40" t="n">
        <x:f>'Bank 01 - HBL Main'!F10</x:f>
        <x:v>0</x:v>
      </x:c>
      <x:c r="H6" s="39" t="str">
        <x:f>'Bank 01 - HBL Main'!H10</x:f>
        <x:v>Inter-bank transfer</x:v>
      </x:c>
      <x:c r="I6" s="39" t="str">
        <x:f>'Bank 01 - HBL Main'!I10</x:f>
        <x:v>Meezan Payroll</x:v>
      </x:c>
      <x:c r="J6" s="39" t="str">
        <x:f>'Bank 01 - HBL Main'!N10</x:f>
        <x:v>Transfer advice</x:v>
      </x:c>
      <x:c r="K6" s="39" t="str">
        <x:v>1029</x:v>
      </x:c>
      <x:c r="L6" s="39" t="str">
        <x:v>PK55HABB0022827200508103</x:v>
      </x:c>
      <x:c r="M6" s="39" t="str">
        <x:f>'Bank 01 - HBL Main'!J10</x:f>
        <x:v>1030</x:v>
      </x:c>
      <x:c r="N6" s="39" t="str">
        <x:v>PK24MEZN0001110107095251</x:v>
      </x:c>
      <x:c r="O6" s="39" t="str">
        <x:v>N/A</x:v>
      </x:c>
      <x:c r="P6" s="39" t="str">
        <x:v>TRUCK IT IN PVT LTD</x:v>
      </x:c>
      <x:c r="Q6" s="39" t="str">
        <x:v>Approved</x:v>
      </x:c>
      <x:c r="R6" s="39" t="str">
        <x:v>TRF-01-02</x:v>
      </x:c>
      <x:c r="S6" s="39" t="str">
        <x:v>Post</x:v>
      </x:c>
      <x:c r="T6" s="39" t="str">
        <x:f>'Bank 01 - HBL Main'!L10</x:f>
        <x:v>Transfer</x:v>
      </x:c>
      <x:c r="U6" s="39" t="str">
        <x:f>'Bank 01 - HBL Main'!K10</x:f>
        <x:v>Contra</x:v>
      </x:c>
      <x:c r="V6" s="41" t="str">
        <x:f>'Bank 01 - HBL Main'!M10</x:f>
        <x:v>FS-000020</x:v>
      </x:c>
    </x:row>
    <x:row r="7">
      <x:c r="A7" s="47" t="str">
        <x:v>MAP-005</x:v>
      </x:c>
      <x:c r="B7" s="39" t="str">
        <x:v>Meezan Payroll</x:v>
      </x:c>
      <x:c r="C7" s="38" t="n">
        <x:f>'Bank 02 - Meezan Payroll'!A7</x:f>
        <x:v>45840</x:v>
      </x:c>
      <x:c r="D7" s="39" t="str">
        <x:f>'Bank 02 - Meezan Payroll'!C7</x:f>
        <x:v>Transfer received from HBL Main</x:v>
      </x:c>
      <x:c r="E7" s="39" t="str">
        <x:f>'Bank 02 - Meezan Payroll'!D7</x:f>
        <x:v>TRF-01-02</x:v>
      </x:c>
      <x:c r="F7" s="40" t="n">
        <x:f>'Bank 02 - Meezan Payroll'!E7</x:f>
        <x:v>0</x:v>
      </x:c>
      <x:c r="G7" s="40" t="n">
        <x:f>'Bank 02 - Meezan Payroll'!F7</x:f>
        <x:v>200000</x:v>
      </x:c>
      <x:c r="H7" s="39" t="str">
        <x:f>'Bank 02 - Meezan Payroll'!H7</x:f>
        <x:v>Inter-bank transfer</x:v>
      </x:c>
      <x:c r="I7" s="39" t="str">
        <x:f>'Bank 02 - Meezan Payroll'!I7</x:f>
        <x:v>HBL Main</x:v>
      </x:c>
      <x:c r="J7" s="39" t="str">
        <x:f>'Bank 02 - Meezan Payroll'!N7</x:f>
        <x:v>Transfer advice</x:v>
      </x:c>
      <x:c r="K7" s="39" t="str">
        <x:v>1030</x:v>
      </x:c>
      <x:c r="L7" s="39" t="str">
        <x:v>PK24MEZN0001110107095251</x:v>
      </x:c>
      <x:c r="M7" s="39" t="str">
        <x:f>'Bank 02 - Meezan Payroll'!J7</x:f>
        <x:v>1029</x:v>
      </x:c>
      <x:c r="N7" s="39" t="str">
        <x:v>PK55HABB0022827200508103</x:v>
      </x:c>
      <x:c r="O7" s="39" t="str">
        <x:v>N/A</x:v>
      </x:c>
      <x:c r="P7" s="39" t="str">
        <x:v>TRUCK IT IN PVT LTD</x:v>
      </x:c>
      <x:c r="Q7" s="39" t="str">
        <x:v>Approved</x:v>
      </x:c>
      <x:c r="R7" s="39" t="str">
        <x:v>TRF-01-02</x:v>
      </x:c>
      <x:c r="S7" s="39" t="str">
        <x:v>Post</x:v>
      </x:c>
      <x:c r="T7" s="39" t="str">
        <x:f>'Bank 02 - Meezan Payroll'!L7</x:f>
        <x:v>Transfer</x:v>
      </x:c>
      <x:c r="U7" s="39" t="str">
        <x:f>'Bank 02 - Meezan Payroll'!K7</x:f>
        <x:v>Contra</x:v>
      </x:c>
      <x:c r="V7" s="41" t="str">
        <x:f>'Bank 02 - Meezan Payroll'!M7</x:f>
        <x:v>FS-000020</x:v>
      </x:c>
    </x:row>
    <x:row r="8">
      <x:c r="A8" s="47" t="str">
        <x:v>MAP-006</x:v>
      </x:c>
      <x:c r="B8" s="39" t="str">
        <x:v>Meezan Payroll</x:v>
      </x:c>
      <x:c r="C8" s="38" t="n">
        <x:f>'Bank 02 - Meezan Payroll'!A8</x:f>
        <x:v>45841</x:v>
      </x:c>
      <x:c r="D8" s="39" t="str">
        <x:f>'Bank 02 - Meezan Payroll'!C8</x:f>
        <x:v>Payroll disbursement — July</x:v>
      </x:c>
      <x:c r="E8" s="39" t="str">
        <x:f>'Bank 02 - Meezan Payroll'!D8</x:f>
        <x:v>B02-002</x:v>
      </x:c>
      <x:c r="F8" s="40" t="n">
        <x:f>'Bank 02 - Meezan Payroll'!E8</x:f>
        <x:v>160000</x:v>
      </x:c>
      <x:c r="G8" s="40" t="n">
        <x:f>'Bank 02 - Meezan Payroll'!F8</x:f>
        <x:v>0</x:v>
      </x:c>
      <x:c r="H8" s="39" t="str">
        <x:f>'Bank 02 - Meezan Payroll'!H8</x:f>
        <x:v>Payroll payment</x:v>
      </x:c>
      <x:c r="I8" s="39" t="str">
        <x:f>'Bank 02 - Meezan Payroll'!I8</x:f>
        <x:v>Employees</x:v>
      </x:c>
      <x:c r="J8" s="39" t="str">
        <x:f>'Bank 02 - Meezan Payroll'!N8</x:f>
        <x:v>Payroll register</x:v>
      </x:c>
      <x:c r="K8" s="39" t="str">
        <x:v>1030</x:v>
      </x:c>
      <x:c r="L8" s="39" t="str">
        <x:v>PK24MEZN0001110107095251</x:v>
      </x:c>
      <x:c r="M8" s="39" t="str">
        <x:f>'Bank 02 - Meezan Payroll'!J8</x:f>
        <x:v>1056</x:v>
      </x:c>
      <x:c r="N8" s="39" t="str">
        <x:v>SALARIES &amp; WAGES</x:v>
      </x:c>
      <x:c r="O8" s="39" t="str">
        <x:v>N/A</x:v>
      </x:c>
      <x:c r="P8" s="39" t="str">
        <x:v>TRUCK IT IN PVT LTD</x:v>
      </x:c>
      <x:c r="Q8" s="39" t="str">
        <x:v>Approved</x:v>
      </x:c>
      <x:c r="R8" s="39"/>
      <x:c r="S8" s="39" t="str">
        <x:v>Post</x:v>
      </x:c>
      <x:c r="T8" s="39" t="str">
        <x:f>'Bank 02 - Meezan Payroll'!L8</x:f>
        <x:v>Operating - Payments</x:v>
      </x:c>
      <x:c r="U8" s="39" t="str">
        <x:f>'Bank 02 - Meezan Payroll'!K8</x:f>
        <x:v>People</x:v>
      </x:c>
      <x:c r="V8" s="41" t="str">
        <x:f>'Bank 02 - Meezan Payroll'!M8</x:f>
        <x:v>FS-000010</x:v>
      </x:c>
    </x:row>
    <x:row r="9">
      <x:c r="A9" s="47" t="str">
        <x:v>MAP-007</x:v>
      </x:c>
      <x:c r="B9" s="39" t="str">
        <x:v>Meezan Payroll</x:v>
      </x:c>
      <x:c r="C9" s="38" t="n">
        <x:f>'Bank 02 - Meezan Payroll'!A9</x:f>
        <x:v>45842</x:v>
      </x:c>
      <x:c r="D9" s="39" t="str">
        <x:f>'Bank 02 - Meezan Payroll'!C9</x:f>
        <x:v>Payroll withholding tax payment</x:v>
      </x:c>
      <x:c r="E9" s="39" t="str">
        <x:f>'Bank 02 - Meezan Payroll'!D9</x:f>
        <x:v>B02-003</x:v>
      </x:c>
      <x:c r="F9" s="40" t="n">
        <x:f>'Bank 02 - Meezan Payroll'!E9</x:f>
        <x:v>25000</x:v>
      </x:c>
      <x:c r="G9" s="40" t="n">
        <x:f>'Bank 02 - Meezan Payroll'!F9</x:f>
        <x:v>0</x:v>
      </x:c>
      <x:c r="H9" s="39" t="str">
        <x:f>'Bank 02 - Meezan Payroll'!H9</x:f>
        <x:v>Payroll tax payment</x:v>
      </x:c>
      <x:c r="I9" s="39" t="str">
        <x:f>'Bank 02 - Meezan Payroll'!I9</x:f>
        <x:v>FBR</x:v>
      </x:c>
      <x:c r="J9" s="39" t="str">
        <x:f>'Bank 02 - Meezan Payroll'!N9</x:f>
        <x:v>Tax challan</x:v>
      </x:c>
      <x:c r="K9" s="39" t="str">
        <x:v>1030</x:v>
      </x:c>
      <x:c r="L9" s="39" t="str">
        <x:v>PK24MEZN0001110107095251</x:v>
      </x:c>
      <x:c r="M9" s="39" t="str">
        <x:f>'Bank 02 - Meezan Payroll'!J9</x:f>
        <x:v>1034</x:v>
      </x:c>
      <x:c r="N9" s="39" t="str">
        <x:v>Accrued payroll</x:v>
      </x:c>
      <x:c r="O9" s="39" t="str">
        <x:v>N/A</x:v>
      </x:c>
      <x:c r="P9" s="39" t="str">
        <x:v>TRUCK IT IN PVT LTD</x:v>
      </x:c>
      <x:c r="Q9" s="39" t="str">
        <x:v>Approved</x:v>
      </x:c>
      <x:c r="R9" s="39"/>
      <x:c r="S9" s="39" t="str">
        <x:v>Post</x:v>
      </x:c>
      <x:c r="T9" s="39" t="str">
        <x:f>'Bank 02 - Meezan Payroll'!L9</x:f>
        <x:v>Operating - Payments</x:v>
      </x:c>
      <x:c r="U9" s="39" t="str">
        <x:f>'Bank 02 - Meezan Payroll'!K9</x:f>
        <x:v>WHT Payroll</x:v>
      </x:c>
      <x:c r="V9" s="41" t="str">
        <x:f>'Bank 02 - Meezan Payroll'!M9</x:f>
        <x:v>FS-000019</x:v>
      </x:c>
    </x:row>
    <x:row r="10">
      <x:c r="A10" s="47" t="str">
        <x:v>MAP-008</x:v>
      </x:c>
      <x:c r="B10" s="39" t="str">
        <x:v>Meezan Payroll</x:v>
      </x:c>
      <x:c r="C10" s="38" t="n">
        <x:f>'Bank 02 - Meezan Payroll'!A10</x:f>
        <x:v>45843</x:v>
      </x:c>
      <x:c r="D10" s="39" t="str">
        <x:f>'Bank 02 - Meezan Payroll'!C10</x:f>
        <x:v>Vendor withholding tax payment</x:v>
      </x:c>
      <x:c r="E10" s="39" t="str">
        <x:f>'Bank 02 - Meezan Payroll'!D10</x:f>
        <x:v>B02-004</x:v>
      </x:c>
      <x:c r="F10" s="40" t="n">
        <x:f>'Bank 02 - Meezan Payroll'!E10</x:f>
        <x:v>10000</x:v>
      </x:c>
      <x:c r="G10" s="40" t="n">
        <x:f>'Bank 02 - Meezan Payroll'!F10</x:f>
        <x:v>0</x:v>
      </x:c>
      <x:c r="H10" s="39" t="str">
        <x:f>'Bank 02 - Meezan Payroll'!H10</x:f>
        <x:v>Vendor tax payment</x:v>
      </x:c>
      <x:c r="I10" s="39" t="str">
        <x:f>'Bank 02 - Meezan Payroll'!I10</x:f>
        <x:v>FBR</x:v>
      </x:c>
      <x:c r="J10" s="39" t="str">
        <x:f>'Bank 02 - Meezan Payroll'!N10</x:f>
        <x:v>Tax challan</x:v>
      </x:c>
      <x:c r="K10" s="39" t="str">
        <x:v>1030</x:v>
      </x:c>
      <x:c r="L10" s="39" t="str">
        <x:v>PK24MEZN0001110107095251</x:v>
      </x:c>
      <x:c r="M10" s="39" t="str">
        <x:f>'Bank 02 - Meezan Payroll'!J10</x:f>
        <x:v>1036</x:v>
      </x:c>
      <x:c r="N10" s="39" t="str">
        <x:v>Withholding tax payable:Withholding tax - Vendors</x:v>
      </x:c>
      <x:c r="O10" s="39" t="str">
        <x:v>N/A</x:v>
      </x:c>
      <x:c r="P10" s="39" t="str">
        <x:v>TRUCK IT IN PVT LTD</x:v>
      </x:c>
      <x:c r="Q10" s="39" t="str">
        <x:v>Approved</x:v>
      </x:c>
      <x:c r="R10" s="39"/>
      <x:c r="S10" s="39" t="str">
        <x:v>Post</x:v>
      </x:c>
      <x:c r="T10" s="39" t="str">
        <x:f>'Bank 02 - Meezan Payroll'!L10</x:f>
        <x:v>Operating - Payments</x:v>
      </x:c>
      <x:c r="U10" s="39" t="str">
        <x:f>'Bank 02 - Meezan Payroll'!K10</x:f>
        <x:v>WHT Vendor</x:v>
      </x:c>
      <x:c r="V10" s="41" t="str">
        <x:f>'Bank 02 - Meezan Payroll'!M10</x:f>
        <x:v>FS-000023</x:v>
      </x:c>
    </x:row>
    <x:row r="11">
      <x:c r="A11" s="47" t="str">
        <x:v>MAP-009</x:v>
      </x:c>
      <x:c r="B11" s="39" t="str">
        <x:v>UBL Collections</x:v>
      </x:c>
      <x:c r="C11" s="38" t="n">
        <x:f>'Bank 03 - UBL Collections'!A7</x:f>
        <x:v>45841</x:v>
      </x:c>
      <x:c r="D11" s="39" t="str">
        <x:f>'Bank 03 - UBL Collections'!C7</x:f>
        <x:v>Customer collection — digital channel</x:v>
      </x:c>
      <x:c r="E11" s="39" t="str">
        <x:f>'Bank 03 - UBL Collections'!D7</x:f>
        <x:v>B03-001</x:v>
      </x:c>
      <x:c r="F11" s="40" t="n">
        <x:f>'Bank 03 - UBL Collections'!E7</x:f>
        <x:v>0</x:v>
      </x:c>
      <x:c r="G11" s="40" t="n">
        <x:f>'Bank 03 - UBL Collections'!F7</x:f>
        <x:v>600000</x:v>
      </x:c>
      <x:c r="H11" s="39" t="str">
        <x:f>'Bank 03 - UBL Collections'!H7</x:f>
        <x:v>Customer receipt</x:v>
      </x:c>
      <x:c r="I11" s="39" t="str">
        <x:f>'Bank 03 - UBL Collections'!I7</x:f>
        <x:v>Digital customers</x:v>
      </x:c>
      <x:c r="J11" s="39" t="str">
        <x:f>'Bank 03 - UBL Collections'!N7</x:f>
        <x:v>Collection report</x:v>
      </x:c>
      <x:c r="K11" s="39" t="str">
        <x:v>1028</x:v>
      </x:c>
      <x:c r="L11" s="39" t="str">
        <x:v>PK49DUIB0000000627075001</x:v>
      </x:c>
      <x:c r="M11" s="39" t="str">
        <x:f>'Bank 03 - UBL Collections'!J7</x:f>
        <x:v>1050</x:v>
      </x:c>
      <x:c r="N11" s="39" t="str">
        <x:v>Sales revenue</x:v>
      </x:c>
      <x:c r="O11" s="39" t="str">
        <x:v>N/A</x:v>
      </x:c>
      <x:c r="P11" s="39" t="str">
        <x:v>TRUCK IT IN PVT LTD</x:v>
      </x:c>
      <x:c r="Q11" s="39" t="str">
        <x:v>Approved</x:v>
      </x:c>
      <x:c r="R11" s="39"/>
      <x:c r="S11" s="39" t="str">
        <x:v>Post</x:v>
      </x:c>
      <x:c r="T11" s="39" t="str">
        <x:f>'Bank 03 - UBL Collections'!L7</x:f>
        <x:v>Operating - Receipts</x:v>
      </x:c>
      <x:c r="U11" s="39" t="str">
        <x:f>'Bank 03 - UBL Collections'!K7</x:f>
        <x:v>Customer Collections</x:v>
      </x:c>
      <x:c r="V11" s="41" t="str">
        <x:f>'Bank 03 - UBL Collections'!M7</x:f>
        <x:v>FS-000022</x:v>
      </x:c>
    </x:row>
    <x:row r="12">
      <x:c r="A12" s="47" t="str">
        <x:v>MAP-010</x:v>
      </x:c>
      <x:c r="B12" s="39" t="str">
        <x:v>UBL Collections</x:v>
      </x:c>
      <x:c r="C12" s="38" t="n">
        <x:f>'Bank 03 - UBL Collections'!A8</x:f>
        <x:v>45842</x:v>
      </x:c>
      <x:c r="D12" s="39" t="str">
        <x:f>'Bank 03 - UBL Collections'!C8</x:f>
        <x:v>Commission paid to delivery partners</x:v>
      </x:c>
      <x:c r="E12" s="39" t="str">
        <x:f>'Bank 03 - UBL Collections'!D8</x:f>
        <x:v>B03-002</x:v>
      </x:c>
      <x:c r="F12" s="40" t="n">
        <x:f>'Bank 03 - UBL Collections'!E8</x:f>
        <x:v>190000</x:v>
      </x:c>
      <x:c r="G12" s="40" t="n">
        <x:f>'Bank 03 - UBL Collections'!F8</x:f>
        <x:v>0</x:v>
      </x:c>
      <x:c r="H12" s="39" t="str">
        <x:f>'Bank 03 - UBL Collections'!H8</x:f>
        <x:v>Commission payment</x:v>
      </x:c>
      <x:c r="I12" s="39" t="str">
        <x:f>'Bank 03 - UBL Collections'!I8</x:f>
        <x:v>Delivery partners</x:v>
      </x:c>
      <x:c r="J12" s="39" t="str">
        <x:f>'Bank 03 - UBL Collections'!N8</x:f>
        <x:v>Commission schedule</x:v>
      </x:c>
      <x:c r="K12" s="39" t="str">
        <x:v>1028</x:v>
      </x:c>
      <x:c r="L12" s="39" t="str">
        <x:v>PK49DUIB0000000627075001</x:v>
      </x:c>
      <x:c r="M12" s="39" t="str">
        <x:f>'Bank 03 - UBL Collections'!J8</x:f>
        <x:v>1054</x:v>
      </x:c>
      <x:c r="N12" s="39" t="str">
        <x:v>Trucker's Commission</x:v>
      </x:c>
      <x:c r="O12" s="39" t="str">
        <x:v>N/A</x:v>
      </x:c>
      <x:c r="P12" s="39" t="str">
        <x:v>TRUCK IT IN PVT LTD</x:v>
      </x:c>
      <x:c r="Q12" s="39" t="str">
        <x:v>Approved</x:v>
      </x:c>
      <x:c r="R12" s="39"/>
      <x:c r="S12" s="39" t="str">
        <x:v>Post</x:v>
      </x:c>
      <x:c r="T12" s="39" t="str">
        <x:f>'Bank 03 - UBL Collections'!L8</x:f>
        <x:v>Operating - Payments</x:v>
      </x:c>
      <x:c r="U12" s="39" t="str">
        <x:f>'Bank 03 - UBL Collections'!K8</x:f>
        <x:v>Commission</x:v>
      </x:c>
      <x:c r="V12" s="41" t="str">
        <x:f>'Bank 03 - UBL Collections'!M8</x:f>
        <x:v>FS-000006</x:v>
      </x:c>
    </x:row>
    <x:row r="13">
      <x:c r="A13" s="47" t="str">
        <x:v>MAP-011</x:v>
      </x:c>
      <x:c r="B13" s="39" t="str">
        <x:v>UBL Collections</x:v>
      </x:c>
      <x:c r="C13" s="38" t="n">
        <x:f>'Bank 03 - UBL Collections'!A9</x:f>
        <x:v>45843</x:v>
      </x:c>
      <x:c r="D13" s="39" t="str">
        <x:f>'Bank 03 - UBL Collections'!C9</x:f>
        <x:v>Recovery received against prior advance</x:v>
      </x:c>
      <x:c r="E13" s="39" t="str">
        <x:f>'Bank 03 - UBL Collections'!D9</x:f>
        <x:v>B03-003</x:v>
      </x:c>
      <x:c r="F13" s="40" t="n">
        <x:f>'Bank 03 - UBL Collections'!E9</x:f>
        <x:v>0</x:v>
      </x:c>
      <x:c r="G13" s="40" t="n">
        <x:f>'Bank 03 - UBL Collections'!F9</x:f>
        <x:v>80000</x:v>
      </x:c>
      <x:c r="H13" s="39" t="str">
        <x:f>'Bank 03 - UBL Collections'!H9</x:f>
        <x:v>Recovery receipt</x:v>
      </x:c>
      <x:c r="I13" s="39" t="str">
        <x:f>'Bank 03 - UBL Collections'!I9</x:f>
        <x:v>Carrier partner</x:v>
      </x:c>
      <x:c r="J13" s="39" t="str">
        <x:f>'Bank 03 - UBL Collections'!N9</x:f>
        <x:v>Recovery note</x:v>
      </x:c>
      <x:c r="K13" s="39" t="str">
        <x:v>1028</x:v>
      </x:c>
      <x:c r="L13" s="39" t="str">
        <x:v>PK49DUIB0000000627075001</x:v>
      </x:c>
      <x:c r="M13" s="39" t="str">
        <x:f>'Bank 03 - UBL Collections'!J9</x:f>
        <x:v>1018</x:v>
      </x:c>
      <x:c r="N13" s="39" t="str">
        <x:v>Trade Debtors</x:v>
      </x:c>
      <x:c r="O13" s="39" t="str">
        <x:v>N/A</x:v>
      </x:c>
      <x:c r="P13" s="39" t="str">
        <x:v>TRUCK IT IN PVT LTD</x:v>
      </x:c>
      <x:c r="Q13" s="39" t="str">
        <x:v>Approved</x:v>
      </x:c>
      <x:c r="R13" s="39"/>
      <x:c r="S13" s="39" t="str">
        <x:v>Post</x:v>
      </x:c>
      <x:c r="T13" s="39" t="str">
        <x:f>'Bank 03 - UBL Collections'!L9</x:f>
        <x:v>Operating - Receipts</x:v>
      </x:c>
      <x:c r="U13" s="39" t="str">
        <x:f>'Bank 03 - UBL Collections'!K9</x:f>
        <x:v>Recovery</x:v>
      </x:c>
      <x:c r="V13" s="41" t="str">
        <x:f>'Bank 03 - UBL Collections'!M9</x:f>
        <x:v>FS-000002</x:v>
      </x:c>
    </x:row>
    <x:row r="14">
      <x:c r="A14" s="47" t="str">
        <x:v>MAP-012</x:v>
      </x:c>
      <x:c r="B14" s="39" t="str">
        <x:v>UBL Collections</x:v>
      </x:c>
      <x:c r="C14" s="38" t="n">
        <x:f>'Bank 03 - UBL Collections'!A10</x:f>
        <x:v>45844</x:v>
      </x:c>
      <x:c r="D14" s="39" t="str">
        <x:f>'Bank 03 - UBL Collections'!C10</x:f>
        <x:v>Transfer to MCB Reserve</x:v>
      </x:c>
      <x:c r="E14" s="39" t="str">
        <x:f>'Bank 03 - UBL Collections'!D10</x:f>
        <x:v>TRF-03-04</x:v>
      </x:c>
      <x:c r="F14" s="40" t="n">
        <x:f>'Bank 03 - UBL Collections'!E10</x:f>
        <x:v>250000</x:v>
      </x:c>
      <x:c r="G14" s="40" t="n">
        <x:f>'Bank 03 - UBL Collections'!F10</x:f>
        <x:v>0</x:v>
      </x:c>
      <x:c r="H14" s="39" t="str">
        <x:f>'Bank 03 - UBL Collections'!H10</x:f>
        <x:v>Inter-bank transfer</x:v>
      </x:c>
      <x:c r="I14" s="39" t="str">
        <x:f>'Bank 03 - UBL Collections'!I10</x:f>
        <x:v>MCB Reserve</x:v>
      </x:c>
      <x:c r="J14" s="39" t="str">
        <x:f>'Bank 03 - UBL Collections'!N10</x:f>
        <x:v>Transfer advice</x:v>
      </x:c>
      <x:c r="K14" s="39" t="str">
        <x:v>1028</x:v>
      </x:c>
      <x:c r="L14" s="39" t="str">
        <x:v>PK49DUIB0000000627075001</x:v>
      </x:c>
      <x:c r="M14" s="39" t="str">
        <x:f>'Bank 03 - UBL Collections'!J10</x:f>
        <x:v>1031</x:v>
      </x:c>
      <x:c r="N14" s="39" t="str">
        <x:v>PK75MPBL0124067140164610</x:v>
      </x:c>
      <x:c r="O14" s="39" t="str">
        <x:v>N/A</x:v>
      </x:c>
      <x:c r="P14" s="39" t="str">
        <x:v>TRUCK IT IN PVT LTD</x:v>
      </x:c>
      <x:c r="Q14" s="39" t="str">
        <x:v>Approved</x:v>
      </x:c>
      <x:c r="R14" s="39" t="str">
        <x:v>TRF-03-04</x:v>
      </x:c>
      <x:c r="S14" s="39" t="str">
        <x:v>Post</x:v>
      </x:c>
      <x:c r="T14" s="39" t="str">
        <x:f>'Bank 03 - UBL Collections'!L10</x:f>
        <x:v>Transfer</x:v>
      </x:c>
      <x:c r="U14" s="39" t="str">
        <x:f>'Bank 03 - UBL Collections'!K10</x:f>
        <x:v>Contra</x:v>
      </x:c>
      <x:c r="V14" s="41" t="str">
        <x:f>'Bank 03 - UBL Collections'!M10</x:f>
        <x:v>FS-000020</x:v>
      </x:c>
    </x:row>
    <x:row r="15">
      <x:c r="A15" s="47" t="str">
        <x:v>MAP-013</x:v>
      </x:c>
      <x:c r="B15" s="39" t="str">
        <x:v>MCB Reserve</x:v>
      </x:c>
      <x:c r="C15" s="38" t="n">
        <x:f>'Bank 04 - MCB Reserve'!A7</x:f>
        <x:v>45842</x:v>
      </x:c>
      <x:c r="D15" s="39" t="str">
        <x:f>'Bank 04 - MCB Reserve'!C7</x:f>
        <x:v>Transfer received from UBL Collections</x:v>
      </x:c>
      <x:c r="E15" s="39" t="str">
        <x:f>'Bank 04 - MCB Reserve'!D7</x:f>
        <x:v>TRF-03-04</x:v>
      </x:c>
      <x:c r="F15" s="40" t="n">
        <x:f>'Bank 04 - MCB Reserve'!E7</x:f>
        <x:v>0</x:v>
      </x:c>
      <x:c r="G15" s="40" t="n">
        <x:f>'Bank 04 - MCB Reserve'!F7</x:f>
        <x:v>250000</x:v>
      </x:c>
      <x:c r="H15" s="39" t="str">
        <x:f>'Bank 04 - MCB Reserve'!H7</x:f>
        <x:v>Inter-bank transfer</x:v>
      </x:c>
      <x:c r="I15" s="39" t="str">
        <x:f>'Bank 04 - MCB Reserve'!I7</x:f>
        <x:v>UBL Collections</x:v>
      </x:c>
      <x:c r="J15" s="39" t="str">
        <x:f>'Bank 04 - MCB Reserve'!N7</x:f>
        <x:v>Transfer advice</x:v>
      </x:c>
      <x:c r="K15" s="39" t="str">
        <x:v>1031</x:v>
      </x:c>
      <x:c r="L15" s="39" t="str">
        <x:v>PK75MPBL0124067140164610</x:v>
      </x:c>
      <x:c r="M15" s="39" t="str">
        <x:f>'Bank 04 - MCB Reserve'!J7</x:f>
        <x:v>1028</x:v>
      </x:c>
      <x:c r="N15" s="39" t="str">
        <x:v>PK49DUIB0000000627075001</x:v>
      </x:c>
      <x:c r="O15" s="39" t="str">
        <x:v>N/A</x:v>
      </x:c>
      <x:c r="P15" s="39" t="str">
        <x:v>TRUCK IT IN PVT LTD</x:v>
      </x:c>
      <x:c r="Q15" s="39" t="str">
        <x:v>Approved</x:v>
      </x:c>
      <x:c r="R15" s="39" t="str">
        <x:v>TRF-03-04</x:v>
      </x:c>
      <x:c r="S15" s="39" t="str">
        <x:v>Post</x:v>
      </x:c>
      <x:c r="T15" s="39" t="str">
        <x:f>'Bank 04 - MCB Reserve'!L7</x:f>
        <x:v>Transfer</x:v>
      </x:c>
      <x:c r="U15" s="39" t="str">
        <x:f>'Bank 04 - MCB Reserve'!K7</x:f>
        <x:v>Contra</x:v>
      </x:c>
      <x:c r="V15" s="41" t="str">
        <x:f>'Bank 04 - MCB Reserve'!M7</x:f>
        <x:v>FS-000020</x:v>
      </x:c>
    </x:row>
    <x:row r="16">
      <x:c r="A16" s="47" t="str">
        <x:v>MAP-014</x:v>
      </x:c>
      <x:c r="B16" s="39" t="str">
        <x:v>MCB Reserve</x:v>
      </x:c>
      <x:c r="C16" s="38" t="n">
        <x:f>'Bank 04 - MCB Reserve'!A8</x:f>
        <x:v>45843</x:v>
      </x:c>
      <x:c r="D16" s="39" t="str">
        <x:f>'Bank 04 - MCB Reserve'!C8</x:f>
        <x:v>Warehouse security deposit</x:v>
      </x:c>
      <x:c r="E16" s="39" t="str">
        <x:f>'Bank 04 - MCB Reserve'!D8</x:f>
        <x:v>B04-002</x:v>
      </x:c>
      <x:c r="F16" s="40" t="n">
        <x:f>'Bank 04 - MCB Reserve'!E8</x:f>
        <x:v>120000</x:v>
      </x:c>
      <x:c r="G16" s="40" t="n">
        <x:f>'Bank 04 - MCB Reserve'!F8</x:f>
        <x:v>0</x:v>
      </x:c>
      <x:c r="H16" s="39" t="str">
        <x:f>'Bank 04 - MCB Reserve'!H8</x:f>
        <x:v>Security deposit</x:v>
      </x:c>
      <x:c r="I16" s="39" t="str">
        <x:f>'Bank 04 - MCB Reserve'!I8</x:f>
        <x:v>Warehouse landlord</x:v>
      </x:c>
      <x:c r="J16" s="39" t="str">
        <x:f>'Bank 04 - MCB Reserve'!N8</x:f>
        <x:v>Deposit agreement</x:v>
      </x:c>
      <x:c r="K16" s="39" t="str">
        <x:v>1031</x:v>
      </x:c>
      <x:c r="L16" s="39" t="str">
        <x:v>PK75MPBL0124067140164610</x:v>
      </x:c>
      <x:c r="M16" s="39" t="str">
        <x:f>'Bank 04 - MCB Reserve'!J8</x:f>
        <x:v>1021</x:v>
      </x:c>
      <x:c r="N16" s="39" t="str">
        <x:v>Security deposit-Office</x:v>
      </x:c>
      <x:c r="O16" s="39" t="str">
        <x:v>N/A</x:v>
      </x:c>
      <x:c r="P16" s="39" t="str">
        <x:v>TRUCK IT IN PVT LTD</x:v>
      </x:c>
      <x:c r="Q16" s="39" t="str">
        <x:v>Approved</x:v>
      </x:c>
      <x:c r="R16" s="39"/>
      <x:c r="S16" s="39" t="str">
        <x:v>Post</x:v>
      </x:c>
      <x:c r="T16" s="39" t="str">
        <x:f>'Bank 04 - MCB Reserve'!L8</x:f>
        <x:v>Investing - Payments</x:v>
      </x:c>
      <x:c r="U16" s="39" t="str">
        <x:f>'Bank 04 - MCB Reserve'!K8</x:f>
        <x:v>Security Deposit</x:v>
      </x:c>
      <x:c r="V16" s="41" t="str">
        <x:f>'Bank 04 - MCB Reserve'!M8</x:f>
        <x:v>FS-000007</x:v>
      </x:c>
    </x:row>
    <x:row r="17">
      <x:c r="A17" s="47" t="str">
        <x:v>MAP-015</x:v>
      </x:c>
      <x:c r="B17" s="39" t="str">
        <x:v>MCB Reserve</x:v>
      </x:c>
      <x:c r="C17" s="38" t="n">
        <x:f>'Bank 04 - MCB Reserve'!A9</x:f>
        <x:v>45844</x:v>
      </x:c>
      <x:c r="D17" s="39" t="str">
        <x:f>'Bank 04 - MCB Reserve'!C9</x:f>
        <x:v>Office rent payment</x:v>
      </x:c>
      <x:c r="E17" s="39" t="str">
        <x:f>'Bank 04 - MCB Reserve'!D9</x:f>
        <x:v>B04-003</x:v>
      </x:c>
      <x:c r="F17" s="40" t="n">
        <x:f>'Bank 04 - MCB Reserve'!E9</x:f>
        <x:v>90000</x:v>
      </x:c>
      <x:c r="G17" s="40" t="n">
        <x:f>'Bank 04 - MCB Reserve'!F9</x:f>
        <x:v>0</x:v>
      </x:c>
      <x:c r="H17" s="39" t="str">
        <x:f>'Bank 04 - MCB Reserve'!H9</x:f>
        <x:v>Rent payment</x:v>
      </x:c>
      <x:c r="I17" s="39" t="str">
        <x:f>'Bank 04 - MCB Reserve'!I9</x:f>
        <x:v>Office landlord</x:v>
      </x:c>
      <x:c r="J17" s="39" t="str">
        <x:f>'Bank 04 - MCB Reserve'!N9</x:f>
        <x:v>Rent invoice</x:v>
      </x:c>
      <x:c r="K17" s="39" t="str">
        <x:v>1031</x:v>
      </x:c>
      <x:c r="L17" s="39" t="str">
        <x:v>PK75MPBL0124067140164610</x:v>
      </x:c>
      <x:c r="M17" s="39" t="str">
        <x:f>'Bank 04 - MCB Reserve'!J9</x:f>
        <x:v>1058</x:v>
      </x:c>
      <x:c r="N17" s="39" t="str">
        <x:v>Rent and utilities</x:v>
      </x:c>
      <x:c r="O17" s="39" t="str">
        <x:v>N/A</x:v>
      </x:c>
      <x:c r="P17" s="39" t="str">
        <x:v>TRUCK IT IN PVT LTD</x:v>
      </x:c>
      <x:c r="Q17" s="39" t="str">
        <x:v>Approved</x:v>
      </x:c>
      <x:c r="R17" s="39"/>
      <x:c r="S17" s="39" t="str">
        <x:v>Post</x:v>
      </x:c>
      <x:c r="T17" s="39" t="str">
        <x:f>'Bank 04 - MCB Reserve'!L9</x:f>
        <x:v>Operating - Payments</x:v>
      </x:c>
      <x:c r="U17" s="39" t="str">
        <x:f>'Bank 04 - MCB Reserve'!K9</x:f>
        <x:v>Real Estate</x:v>
      </x:c>
      <x:c r="V17" s="41" t="str">
        <x:f>'Bank 04 - MCB Reserve'!M9</x:f>
        <x:v>FS-000012</x:v>
      </x:c>
    </x:row>
    <x:row r="18">
      <x:c r="A18" s="47" t="str">
        <x:v>MAP-016</x:v>
      </x:c>
      <x:c r="B18" s="39" t="str">
        <x:v>MCB Reserve</x:v>
      </x:c>
      <x:c r="C18" s="38" t="n">
        <x:f>'Bank 04 - MCB Reserve'!A10</x:f>
        <x:v>45845</x:v>
      </x:c>
      <x:c r="D18" s="39" t="str">
        <x:f>'Bank 04 - MCB Reserve'!C10</x:f>
        <x:v>Bank profit credited</x:v>
      </x:c>
      <x:c r="E18" s="39" t="str">
        <x:f>'Bank 04 - MCB Reserve'!D10</x:f>
        <x:v>B04-004</x:v>
      </x:c>
      <x:c r="F18" s="40" t="n">
        <x:f>'Bank 04 - MCB Reserve'!E10</x:f>
        <x:v>0</x:v>
      </x:c>
      <x:c r="G18" s="40" t="n">
        <x:f>'Bank 04 - MCB Reserve'!F10</x:f>
        <x:v>14000</x:v>
      </x:c>
      <x:c r="H18" s="39" t="str">
        <x:f>'Bank 04 - MCB Reserve'!H10</x:f>
        <x:v>Bank profit</x:v>
      </x:c>
      <x:c r="I18" s="39" t="str">
        <x:f>'Bank 04 - MCB Reserve'!I10</x:f>
        <x:v>MCB</x:v>
      </x:c>
      <x:c r="J18" s="39" t="str">
        <x:f>'Bank 04 - MCB Reserve'!N10</x:f>
        <x:v>Bank advice</x:v>
      </x:c>
      <x:c r="K18" s="39" t="str">
        <x:v>1031</x:v>
      </x:c>
      <x:c r="L18" s="39" t="str">
        <x:v>PK75MPBL0124067140164610</x:v>
      </x:c>
      <x:c r="M18" s="39" t="str">
        <x:f>'Bank 04 - MCB Reserve'!J10</x:f>
        <x:v>1066</x:v>
      </x:c>
      <x:c r="N18" s="39" t="str">
        <x:v>Profit on PLS</x:v>
      </x:c>
      <x:c r="O18" s="39" t="str">
        <x:v>N/A</x:v>
      </x:c>
      <x:c r="P18" s="39" t="str">
        <x:v>TRUCK IT IN PVT LTD</x:v>
      </x:c>
      <x:c r="Q18" s="39" t="str">
        <x:v>Approved</x:v>
      </x:c>
      <x:c r="R18" s="39"/>
      <x:c r="S18" s="39" t="str">
        <x:v>Post</x:v>
      </x:c>
      <x:c r="T18" s="39" t="str">
        <x:f>'Bank 04 - MCB Reserve'!L10</x:f>
        <x:v>Operating - Receipts</x:v>
      </x:c>
      <x:c r="U18" s="39" t="str">
        <x:f>'Bank 04 - MCB Reserve'!K10</x:f>
        <x:v>Profit</x:v>
      </x:c>
      <x:c r="V18" s="41" t="str">
        <x:f>'Bank 04 - MCB Reserve'!M10</x:f>
        <x:v>FS-000013</x:v>
      </x:c>
    </x:row>
    <x:row r="19">
      <x:c r="A19" s="47" t="str">
        <x:v>MAP-017</x:v>
      </x:c>
      <x:c r="B19" s="39" t="str">
        <x:v>MCB Reserve</x:v>
      </x:c>
      <x:c r="C19" s="38" t="n">
        <x:f>'Bank 04 - MCB Reserve'!A11</x:f>
        <x:v>45846</x:v>
      </x:c>
      <x:c r="D19" s="39" t="str">
        <x:f>'Bank 04 - MCB Reserve'!C11</x:f>
        <x:v>Withholding tax on bank profit</x:v>
      </x:c>
      <x:c r="E19" s="39" t="str">
        <x:f>'Bank 04 - MCB Reserve'!D11</x:f>
        <x:v>B04-005</x:v>
      </x:c>
      <x:c r="F19" s="40" t="n">
        <x:f>'Bank 04 - MCB Reserve'!E11</x:f>
        <x:v>2000</x:v>
      </x:c>
      <x:c r="G19" s="40" t="n">
        <x:f>'Bank 04 - MCB Reserve'!F11</x:f>
        <x:v>0</x:v>
      </x:c>
      <x:c r="H19" s="39" t="str">
        <x:f>'Bank 04 - MCB Reserve'!H11</x:f>
        <x:v>Withholding tax</x:v>
      </x:c>
      <x:c r="I19" s="39" t="str">
        <x:f>'Bank 04 - MCB Reserve'!I11</x:f>
        <x:v>MCB</x:v>
      </x:c>
      <x:c r="J19" s="39" t="str">
        <x:f>'Bank 04 - MCB Reserve'!N11</x:f>
        <x:v>Bank advice</x:v>
      </x:c>
      <x:c r="K19" s="39" t="str">
        <x:v>1031</x:v>
      </x:c>
      <x:c r="L19" s="39" t="str">
        <x:v>PK75MPBL0124067140164610</x:v>
      </x:c>
      <x:c r="M19" s="39" t="str">
        <x:f>'Bank 04 - MCB Reserve'!J11</x:f>
        <x:v>1045</x:v>
      </x:c>
      <x:c r="N19" s="39" t="str">
        <x:v>WHT on Bank Profit</x:v>
      </x:c>
      <x:c r="O19" s="39" t="str">
        <x:v>N/A</x:v>
      </x:c>
      <x:c r="P19" s="39" t="str">
        <x:v>TRUCK IT IN PVT LTD</x:v>
      </x:c>
      <x:c r="Q19" s="39" t="str">
        <x:v>Approved</x:v>
      </x:c>
      <x:c r="R19" s="39"/>
      <x:c r="S19" s="39" t="str">
        <x:v>Post</x:v>
      </x:c>
      <x:c r="T19" s="39" t="str">
        <x:f>'Bank 04 - MCB Reserve'!L11</x:f>
        <x:v>Operating - Payments</x:v>
      </x:c>
      <x:c r="U19" s="39" t="str">
        <x:f>'Bank 04 - MCB Reserve'!K11</x:f>
        <x:v>WHT Profit</x:v>
      </x:c>
      <x:c r="V19" s="41" t="str">
        <x:f>'Bank 04 - MCB Reserve'!M11</x:f>
        <x:v>FS-000014</x:v>
      </x:c>
    </x:row>
    <x:row r="20">
      <x:c r="A20" s="47" t="str">
        <x:v>MAP-018</x:v>
      </x:c>
      <x:c r="B20" s="39" t="str">
        <x:v>HBL North</x:v>
      </x:c>
      <x:c r="C20" s="38" t="n">
        <x:f>'Bank 05 - HBL North'!A7</x:f>
        <x:v>45843</x:v>
      </x:c>
      <x:c r="D20" s="39" t="str">
        <x:f>'Bank 05 - HBL North'!C7</x:f>
        <x:v>Customer collection — northern region</x:v>
      </x:c>
      <x:c r="E20" s="39" t="str">
        <x:f>'Bank 05 - HBL North'!D7</x:f>
        <x:v>B05-001</x:v>
      </x:c>
      <x:c r="F20" s="40" t="n">
        <x:f>'Bank 05 - HBL North'!E7</x:f>
        <x:v>0</x:v>
      </x:c>
      <x:c r="G20" s="40" t="n">
        <x:f>'Bank 05 - HBL North'!F7</x:f>
        <x:v>750000</x:v>
      </x:c>
      <x:c r="H20" s="39" t="str">
        <x:f>'Bank 05 - HBL North'!H7</x:f>
        <x:v>Customer receipt</x:v>
      </x:c>
      <x:c r="I20" s="39" t="str">
        <x:f>'Bank 05 - HBL North'!I7</x:f>
        <x:v>Northern merchants</x:v>
      </x:c>
      <x:c r="J20" s="39" t="str">
        <x:f>'Bank 05 - HBL North'!N7</x:f>
        <x:v>Collection report</x:v>
      </x:c>
      <x:c r="K20" s="39" t="str">
        <x:v>1029</x:v>
      </x:c>
      <x:c r="L20" s="39" t="str">
        <x:v>PK55HABB0022827200508103</x:v>
      </x:c>
      <x:c r="M20" s="39" t="str">
        <x:f>'Bank 05 - HBL North'!J7</x:f>
        <x:v>1050</x:v>
      </x:c>
      <x:c r="N20" s="39" t="str">
        <x:v>Sales revenue</x:v>
      </x:c>
      <x:c r="O20" s="39" t="str">
        <x:v>N/A</x:v>
      </x:c>
      <x:c r="P20" s="39" t="str">
        <x:v>TRUCK IT IN PVT LTD</x:v>
      </x:c>
      <x:c r="Q20" s="39" t="str">
        <x:v>Approved</x:v>
      </x:c>
      <x:c r="R20" s="39"/>
      <x:c r="S20" s="39" t="str">
        <x:v>Post</x:v>
      </x:c>
      <x:c r="T20" s="39" t="str">
        <x:f>'Bank 05 - HBL North'!L7</x:f>
        <x:v>Operating - Receipts</x:v>
      </x:c>
      <x:c r="U20" s="39" t="str">
        <x:f>'Bank 05 - HBL North'!K7</x:f>
        <x:v>Customer Collections</x:v>
      </x:c>
      <x:c r="V20" s="41" t="str">
        <x:f>'Bank 05 - HBL North'!M7</x:f>
        <x:v>FS-000022</x:v>
      </x:c>
    </x:row>
    <x:row r="21">
      <x:c r="A21" s="47" t="str">
        <x:v>MAP-019</x:v>
      </x:c>
      <x:c r="B21" s="39" t="str">
        <x:v>HBL North</x:v>
      </x:c>
      <x:c r="C21" s="38" t="n">
        <x:f>'Bank 05 - HBL North'!A8</x:f>
        <x:v>45844</x:v>
      </x:c>
      <x:c r="D21" s="39" t="str">
        <x:f>'Bank 05 - HBL North'!C8</x:f>
        <x:v>Offline marketing campaign</x:v>
      </x:c>
      <x:c r="E21" s="39" t="str">
        <x:f>'Bank 05 - HBL North'!D8</x:f>
        <x:v>B05-002</x:v>
      </x:c>
      <x:c r="F21" s="40" t="n">
        <x:f>'Bank 05 - HBL North'!E8</x:f>
        <x:v>110000</x:v>
      </x:c>
      <x:c r="G21" s="40" t="n">
        <x:f>'Bank 05 - HBL North'!F8</x:f>
        <x:v>0</x:v>
      </x:c>
      <x:c r="H21" s="39" t="str">
        <x:f>'Bank 05 - HBL North'!H8</x:f>
        <x:v>Marketing payment</x:v>
      </x:c>
      <x:c r="I21" s="39" t="str">
        <x:f>'Bank 05 - HBL North'!I8</x:f>
        <x:v>Media partner</x:v>
      </x:c>
      <x:c r="J21" s="39" t="str">
        <x:f>'Bank 05 - HBL North'!N8</x:f>
        <x:v>Campaign invoice</x:v>
      </x:c>
      <x:c r="K21" s="39" t="str">
        <x:v>1029</x:v>
      </x:c>
      <x:c r="L21" s="39" t="str">
        <x:v>PK55HABB0022827200508103</x:v>
      </x:c>
      <x:c r="M21" s="39" t="str">
        <x:f>'Bank 05 - HBL North'!J8</x:f>
        <x:v>1061</x:v>
      </x:c>
      <x:c r="N21" s="39" t="str">
        <x:v>Offline marketing and channel</x:v>
      </x:c>
      <x:c r="O21" s="39" t="str">
        <x:v>N/A</x:v>
      </x:c>
      <x:c r="P21" s="39" t="str">
        <x:v>TRUCK IT IN PVT LTD</x:v>
      </x:c>
      <x:c r="Q21" s="39" t="str">
        <x:v>Approved</x:v>
      </x:c>
      <x:c r="R21" s="39"/>
      <x:c r="S21" s="39" t="str">
        <x:v>Post</x:v>
      </x:c>
      <x:c r="T21" s="39" t="str">
        <x:f>'Bank 05 - HBL North'!L8</x:f>
        <x:v>Operating - Payments</x:v>
      </x:c>
      <x:c r="U21" s="39" t="str">
        <x:f>'Bank 05 - HBL North'!K8</x:f>
        <x:v>Offline Marketing &amp; Channels</x:v>
      </x:c>
      <x:c r="V21" s="41" t="str">
        <x:f>'Bank 05 - HBL North'!M8</x:f>
        <x:v>FS-000016</x:v>
      </x:c>
    </x:row>
    <x:row r="22">
      <x:c r="A22" s="47" t="str">
        <x:v>MAP-020</x:v>
      </x:c>
      <x:c r="B22" s="39" t="str">
        <x:v>HBL North</x:v>
      </x:c>
      <x:c r="C22" s="38" t="n">
        <x:f>'Bank 05 - HBL North'!A9</x:f>
        <x:v>45845</x:v>
      </x:c>
      <x:c r="D22" s="39" t="str">
        <x:f>'Bank 05 - HBL North'!C9</x:f>
        <x:v>Professional services fee</x:v>
      </x:c>
      <x:c r="E22" s="39" t="str">
        <x:f>'Bank 05 - HBL North'!D9</x:f>
        <x:v>B05-003</x:v>
      </x:c>
      <x:c r="F22" s="40" t="n">
        <x:f>'Bank 05 - HBL North'!E9</x:f>
        <x:v>95000</x:v>
      </x:c>
      <x:c r="G22" s="40" t="n">
        <x:f>'Bank 05 - HBL North'!F9</x:f>
        <x:v>0</x:v>
      </x:c>
      <x:c r="H22" s="39" t="str">
        <x:f>'Bank 05 - HBL North'!H9</x:f>
        <x:v>Professional fee</x:v>
      </x:c>
      <x:c r="I22" s="39" t="str">
        <x:f>'Bank 05 - HBL North'!I9</x:f>
        <x:v>Consultant</x:v>
      </x:c>
      <x:c r="J22" s="39" t="str">
        <x:f>'Bank 05 - HBL North'!N9</x:f>
        <x:v>Consultancy invoice</x:v>
      </x:c>
      <x:c r="K22" s="39" t="str">
        <x:v>1029</x:v>
      </x:c>
      <x:c r="L22" s="39" t="str">
        <x:v>PK55HABB0022827200508103</x:v>
      </x:c>
      <x:c r="M22" s="39" t="str">
        <x:f>'Bank 05 - HBL North'!J9</x:f>
        <x:v>1060</x:v>
      </x:c>
      <x:c r="N22" s="39" t="str">
        <x:v>LEGAL &amp; PROFESSIONAL FEE</x:v>
      </x:c>
      <x:c r="O22" s="39" t="str">
        <x:v>N/A</x:v>
      </x:c>
      <x:c r="P22" s="39" t="str">
        <x:v>TRUCK IT IN PVT LTD</x:v>
      </x:c>
      <x:c r="Q22" s="39" t="str">
        <x:v>Approved</x:v>
      </x:c>
      <x:c r="R22" s="39"/>
      <x:c r="S22" s="39" t="str">
        <x:v>Post</x:v>
      </x:c>
      <x:c r="T22" s="39" t="str">
        <x:f>'Bank 05 - HBL North'!L9</x:f>
        <x:v>Operating - Payments</x:v>
      </x:c>
      <x:c r="U22" s="39" t="str">
        <x:f>'Bank 05 - HBL North'!K9</x:f>
        <x:v>Professional Services</x:v>
      </x:c>
      <x:c r="V22" s="41" t="str">
        <x:f>'Bank 05 - HBL North'!M9</x:f>
        <x:v>FS-000015</x:v>
      </x:c>
    </x:row>
    <x:row r="23">
      <x:c r="A23" s="47" t="str">
        <x:v>MAP-021</x:v>
      </x:c>
      <x:c r="B23" s="39" t="str">
        <x:v>HBL North</x:v>
      </x:c>
      <x:c r="C23" s="38" t="n">
        <x:f>'Bank 05 - HBL North'!A10</x:f>
        <x:v>45846</x:v>
      </x:c>
      <x:c r="D23" s="39" t="str">
        <x:f>'Bank 05 - HBL North'!C10</x:f>
        <x:v>Transfer to Meezan Corporate</x:v>
      </x:c>
      <x:c r="E23" s="39" t="str">
        <x:f>'Bank 05 - HBL North'!D10</x:f>
        <x:v>TRF-05-06</x:v>
      </x:c>
      <x:c r="F23" s="40" t="n">
        <x:f>'Bank 05 - HBL North'!E10</x:f>
        <x:v>250000</x:v>
      </x:c>
      <x:c r="G23" s="40" t="n">
        <x:f>'Bank 05 - HBL North'!F10</x:f>
        <x:v>0</x:v>
      </x:c>
      <x:c r="H23" s="39" t="str">
        <x:f>'Bank 05 - HBL North'!H10</x:f>
        <x:v>Inter-bank transfer</x:v>
      </x:c>
      <x:c r="I23" s="39" t="str">
        <x:f>'Bank 05 - HBL North'!I10</x:f>
        <x:v>Meezan Corporate</x:v>
      </x:c>
      <x:c r="J23" s="39" t="str">
        <x:f>'Bank 05 - HBL North'!N10</x:f>
        <x:v>Transfer advice</x:v>
      </x:c>
      <x:c r="K23" s="39" t="str">
        <x:v>1029</x:v>
      </x:c>
      <x:c r="L23" s="39" t="str">
        <x:v>PK55HABB0022827200508103</x:v>
      </x:c>
      <x:c r="M23" s="39" t="str">
        <x:f>'Bank 05 - HBL North'!J10</x:f>
        <x:v>1030</x:v>
      </x:c>
      <x:c r="N23" s="39" t="str">
        <x:v>PK24MEZN0001110107095251</x:v>
      </x:c>
      <x:c r="O23" s="39" t="str">
        <x:v>N/A</x:v>
      </x:c>
      <x:c r="P23" s="39" t="str">
        <x:v>TRUCK IT IN PVT LTD</x:v>
      </x:c>
      <x:c r="Q23" s="39" t="str">
        <x:v>Approved</x:v>
      </x:c>
      <x:c r="R23" s="39" t="str">
        <x:v>TRF-05-06</x:v>
      </x:c>
      <x:c r="S23" s="39" t="str">
        <x:v>Post</x:v>
      </x:c>
      <x:c r="T23" s="39" t="str">
        <x:f>'Bank 05 - HBL North'!L10</x:f>
        <x:v>Transfer</x:v>
      </x:c>
      <x:c r="U23" s="39" t="str">
        <x:f>'Bank 05 - HBL North'!K10</x:f>
        <x:v>Contra</x:v>
      </x:c>
      <x:c r="V23" s="41" t="str">
        <x:f>'Bank 05 - HBL North'!M10</x:f>
        <x:v>FS-000020</x:v>
      </x:c>
    </x:row>
    <x:row r="24">
      <x:c r="A24" s="47" t="str">
        <x:v>MAP-022</x:v>
      </x:c>
      <x:c r="B24" s="39" t="str">
        <x:v>Meezan Corporate</x:v>
      </x:c>
      <x:c r="C24" s="38" t="n">
        <x:f>'Bank 06 - Meezan Corporate'!A7</x:f>
        <x:v>45844</x:v>
      </x:c>
      <x:c r="D24" s="39" t="str">
        <x:f>'Bank 06 - Meezan Corporate'!C7</x:f>
        <x:v>Transfer received from HBL North</x:v>
      </x:c>
      <x:c r="E24" s="39" t="str">
        <x:f>'Bank 06 - Meezan Corporate'!D7</x:f>
        <x:v>TRF-05-06</x:v>
      </x:c>
      <x:c r="F24" s="40" t="n">
        <x:f>'Bank 06 - Meezan Corporate'!E7</x:f>
        <x:v>0</x:v>
      </x:c>
      <x:c r="G24" s="40" t="n">
        <x:f>'Bank 06 - Meezan Corporate'!F7</x:f>
        <x:v>250000</x:v>
      </x:c>
      <x:c r="H24" s="39" t="str">
        <x:f>'Bank 06 - Meezan Corporate'!H7</x:f>
        <x:v>Inter-bank transfer</x:v>
      </x:c>
      <x:c r="I24" s="39" t="str">
        <x:f>'Bank 06 - Meezan Corporate'!I7</x:f>
        <x:v>HBL North</x:v>
      </x:c>
      <x:c r="J24" s="39" t="str">
        <x:f>'Bank 06 - Meezan Corporate'!N7</x:f>
        <x:v>Transfer advice</x:v>
      </x:c>
      <x:c r="K24" s="39" t="str">
        <x:v>1030</x:v>
      </x:c>
      <x:c r="L24" s="39" t="str">
        <x:v>PK24MEZN0001110107095251</x:v>
      </x:c>
      <x:c r="M24" s="39" t="str">
        <x:f>'Bank 06 - Meezan Corporate'!J7</x:f>
        <x:v>1029</x:v>
      </x:c>
      <x:c r="N24" s="39" t="str">
        <x:v>PK55HABB0022827200508103</x:v>
      </x:c>
      <x:c r="O24" s="39" t="str">
        <x:v>N/A</x:v>
      </x:c>
      <x:c r="P24" s="39" t="str">
        <x:v>TRUCK IT IN PVT LTD</x:v>
      </x:c>
      <x:c r="Q24" s="39" t="str">
        <x:v>Approved</x:v>
      </x:c>
      <x:c r="R24" s="39" t="str">
        <x:v>TRF-05-06</x:v>
      </x:c>
      <x:c r="S24" s="39" t="str">
        <x:v>Post</x:v>
      </x:c>
      <x:c r="T24" s="39" t="str">
        <x:f>'Bank 06 - Meezan Corporate'!L7</x:f>
        <x:v>Transfer</x:v>
      </x:c>
      <x:c r="U24" s="39" t="str">
        <x:f>'Bank 06 - Meezan Corporate'!K7</x:f>
        <x:v>Contra</x:v>
      </x:c>
      <x:c r="V24" s="41" t="str">
        <x:f>'Bank 06 - Meezan Corporate'!M7</x:f>
        <x:v>FS-000020</x:v>
      </x:c>
    </x:row>
    <x:row r="25">
      <x:c r="A25" s="47" t="str">
        <x:v>MAP-023</x:v>
      </x:c>
      <x:c r="B25" s="39" t="str">
        <x:v>Meezan Corporate</x:v>
      </x:c>
      <x:c r="C25" s="38" t="n">
        <x:f>'Bank 06 - Meezan Corporate'!A8</x:f>
        <x:v>45845</x:v>
      </x:c>
      <x:c r="D25" s="39" t="str">
        <x:f>'Bank 06 - Meezan Corporate'!C8</x:f>
        <x:v>Payroll disbursement — operations</x:v>
      </x:c>
      <x:c r="E25" s="39" t="str">
        <x:f>'Bank 06 - Meezan Corporate'!D8</x:f>
        <x:v>B06-002</x:v>
      </x:c>
      <x:c r="F25" s="40" t="n">
        <x:f>'Bank 06 - Meezan Corporate'!E8</x:f>
        <x:v>180000</x:v>
      </x:c>
      <x:c r="G25" s="40" t="n">
        <x:f>'Bank 06 - Meezan Corporate'!F8</x:f>
        <x:v>0</x:v>
      </x:c>
      <x:c r="H25" s="39" t="str">
        <x:f>'Bank 06 - Meezan Corporate'!H8</x:f>
        <x:v>Payroll payment</x:v>
      </x:c>
      <x:c r="I25" s="39" t="str">
        <x:f>'Bank 06 - Meezan Corporate'!I8</x:f>
        <x:v>Operations staff</x:v>
      </x:c>
      <x:c r="J25" s="39" t="str">
        <x:f>'Bank 06 - Meezan Corporate'!N8</x:f>
        <x:v>Payroll register</x:v>
      </x:c>
      <x:c r="K25" s="39" t="str">
        <x:v>1030</x:v>
      </x:c>
      <x:c r="L25" s="39" t="str">
        <x:v>PK24MEZN0001110107095251</x:v>
      </x:c>
      <x:c r="M25" s="39" t="str">
        <x:f>'Bank 06 - Meezan Corporate'!J8</x:f>
        <x:v>1056</x:v>
      </x:c>
      <x:c r="N25" s="39" t="str">
        <x:v>SALARIES &amp; WAGES</x:v>
      </x:c>
      <x:c r="O25" s="39" t="str">
        <x:v>N/A</x:v>
      </x:c>
      <x:c r="P25" s="39" t="str">
        <x:v>TRUCK IT IN PVT LTD</x:v>
      </x:c>
      <x:c r="Q25" s="39" t="str">
        <x:v>Approved</x:v>
      </x:c>
      <x:c r="R25" s="39"/>
      <x:c r="S25" s="39" t="str">
        <x:v>Post</x:v>
      </x:c>
      <x:c r="T25" s="39" t="str">
        <x:f>'Bank 06 - Meezan Corporate'!L8</x:f>
        <x:v>Operating - Payments</x:v>
      </x:c>
      <x:c r="U25" s="39" t="str">
        <x:f>'Bank 06 - Meezan Corporate'!K8</x:f>
        <x:v>People</x:v>
      </x:c>
      <x:c r="V25" s="41" t="str">
        <x:f>'Bank 06 - Meezan Corporate'!M8</x:f>
        <x:v>FS-000010</x:v>
      </x:c>
    </x:row>
    <x:row r="26">
      <x:c r="A26" s="47" t="str">
        <x:v>MAP-024</x:v>
      </x:c>
      <x:c r="B26" s="39" t="str">
        <x:v>Meezan Corporate</x:v>
      </x:c>
      <x:c r="C26" s="38" t="n">
        <x:f>'Bank 06 - Meezan Corporate'!A9</x:f>
        <x:v>45846</x:v>
      </x:c>
      <x:c r="D26" s="39" t="str">
        <x:f>'Bank 06 - Meezan Corporate'!C9</x:f>
        <x:v>Travel and entertainment reimbursement</x:v>
      </x:c>
      <x:c r="E26" s="39" t="str">
        <x:f>'Bank 06 - Meezan Corporate'!D9</x:f>
        <x:v>B06-003</x:v>
      </x:c>
      <x:c r="F26" s="40" t="n">
        <x:f>'Bank 06 - Meezan Corporate'!E9</x:f>
        <x:v>40000</x:v>
      </x:c>
      <x:c r="G26" s="40" t="n">
        <x:f>'Bank 06 - Meezan Corporate'!F9</x:f>
        <x:v>0</x:v>
      </x:c>
      <x:c r="H26" s="39" t="str">
        <x:f>'Bank 06 - Meezan Corporate'!H9</x:f>
        <x:v>Employee reimbursement</x:v>
      </x:c>
      <x:c r="I26" s="39" t="str">
        <x:f>'Bank 06 - Meezan Corporate'!I9</x:f>
        <x:v>Operations team</x:v>
      </x:c>
      <x:c r="J26" s="39" t="str">
        <x:f>'Bank 06 - Meezan Corporate'!N9</x:f>
        <x:v>Expense claim</x:v>
      </x:c>
      <x:c r="K26" s="39" t="str">
        <x:v>1030</x:v>
      </x:c>
      <x:c r="L26" s="39" t="str">
        <x:v>PK24MEZN0001110107095251</x:v>
      </x:c>
      <x:c r="M26" s="39" t="str">
        <x:f>'Bank 06 - Meezan Corporate'!J9</x:f>
        <x:v>1059</x:v>
      </x:c>
      <x:c r="N26" s="39" t="str">
        <x:v>Travel and entertainment</x:v>
      </x:c>
      <x:c r="O26" s="39" t="str">
        <x:v>N/A</x:v>
      </x:c>
      <x:c r="P26" s="39" t="str">
        <x:v>TRUCK IT IN PVT LTD</x:v>
      </x:c>
      <x:c r="Q26" s="39" t="str">
        <x:v>Approved</x:v>
      </x:c>
      <x:c r="R26" s="39"/>
      <x:c r="S26" s="39" t="str">
        <x:v>Post</x:v>
      </x:c>
      <x:c r="T26" s="39" t="str">
        <x:f>'Bank 06 - Meezan Corporate'!L9</x:f>
        <x:v>Operating - Payments</x:v>
      </x:c>
      <x:c r="U26" s="39" t="str">
        <x:f>'Bank 06 - Meezan Corporate'!K9</x:f>
        <x:v>Travel &amp; Entertainment</x:v>
      </x:c>
      <x:c r="V26" s="41" t="str">
        <x:f>'Bank 06 - Meezan Corporate'!M9</x:f>
        <x:v>FS-000011</x:v>
      </x:c>
    </x:row>
    <x:row r="27">
      <x:c r="A27" s="47" t="str">
        <x:v>MAP-025</x:v>
      </x:c>
      <x:c r="B27" s="39" t="str">
        <x:v>Meezan Corporate</x:v>
      </x:c>
      <x:c r="C27" s="38" t="n">
        <x:f>'Bank 06 - Meezan Corporate'!A10</x:f>
        <x:v>45847</x:v>
      </x:c>
      <x:c r="D27" s="39" t="str">
        <x:f>'Bank 06 - Meezan Corporate'!C10</x:f>
        <x:v>Bank service charges</x:v>
      </x:c>
      <x:c r="E27" s="39" t="str">
        <x:f>'Bank 06 - Meezan Corporate'!D10</x:f>
        <x:v>B06-004</x:v>
      </x:c>
      <x:c r="F27" s="40" t="n">
        <x:f>'Bank 06 - Meezan Corporate'!E10</x:f>
        <x:v>10000</x:v>
      </x:c>
      <x:c r="G27" s="40" t="n">
        <x:f>'Bank 06 - Meezan Corporate'!F10</x:f>
        <x:v>0</x:v>
      </x:c>
      <x:c r="H27" s="39" t="str">
        <x:f>'Bank 06 - Meezan Corporate'!H10</x:f>
        <x:v>Bank charges</x:v>
      </x:c>
      <x:c r="I27" s="39" t="str">
        <x:f>'Bank 06 - Meezan Corporate'!I10</x:f>
        <x:v>Meezan</x:v>
      </x:c>
      <x:c r="J27" s="39" t="str">
        <x:f>'Bank 06 - Meezan Corporate'!N10</x:f>
        <x:v>Bank statement</x:v>
      </x:c>
      <x:c r="K27" s="39" t="str">
        <x:v>1030</x:v>
      </x:c>
      <x:c r="L27" s="39" t="str">
        <x:v>PK24MEZN0001110107095251</x:v>
      </x:c>
      <x:c r="M27" s="39" t="str">
        <x:f>'Bank 06 - Meezan Corporate'!J10</x:f>
        <x:v>1057</x:v>
      </x:c>
      <x:c r="N27" s="39" t="str">
        <x:v>Bank Charges</x:v>
      </x:c>
      <x:c r="O27" s="39" t="str">
        <x:v>N/A</x:v>
      </x:c>
      <x:c r="P27" s="39" t="str">
        <x:v>TRUCK IT IN PVT LTD</x:v>
      </x:c>
      <x:c r="Q27" s="39" t="str">
        <x:v>Approved</x:v>
      </x:c>
      <x:c r="R27" s="39"/>
      <x:c r="S27" s="39" t="str">
        <x:v>Post</x:v>
      </x:c>
      <x:c r="T27" s="39" t="str">
        <x:f>'Bank 06 - Meezan Corporate'!L10</x:f>
        <x:v>Operating - Payments</x:v>
      </x:c>
      <x:c r="U27" s="39" t="str">
        <x:f>'Bank 06 - Meezan Corporate'!K10</x:f>
        <x:v>Bank Charges</x:v>
      </x:c>
      <x:c r="V27" s="41" t="str">
        <x:f>'Bank 06 - Meezan Corporate'!M10</x:f>
        <x:v>FS-000008</x:v>
      </x:c>
    </x:row>
    <x:row r="28">
      <x:c r="A28" s="47" t="str">
        <x:v>MAP-026</x:v>
      </x:c>
      <x:c r="B28" s="39" t="str">
        <x:v>UBL Operations</x:v>
      </x:c>
      <x:c r="C28" s="38" t="n">
        <x:f>'Bank 07 - UBL Operations'!A7</x:f>
        <x:v>45845</x:v>
      </x:c>
      <x:c r="D28" s="39" t="str">
        <x:f>'Bank 07 - UBL Operations'!C7</x:f>
        <x:v>Short-term loan proceeds</x:v>
      </x:c>
      <x:c r="E28" s="39" t="str">
        <x:f>'Bank 07 - UBL Operations'!D7</x:f>
        <x:v>B07-001</x:v>
      </x:c>
      <x:c r="F28" s="40" t="n">
        <x:f>'Bank 07 - UBL Operations'!E7</x:f>
        <x:v>0</x:v>
      </x:c>
      <x:c r="G28" s="40" t="n">
        <x:f>'Bank 07 - UBL Operations'!F7</x:f>
        <x:v>300000</x:v>
      </x:c>
      <x:c r="H28" s="39" t="str">
        <x:f>'Bank 07 - UBL Operations'!H7</x:f>
        <x:v>Loan receipt</x:v>
      </x:c>
      <x:c r="I28" s="39" t="str">
        <x:f>'Bank 07 - UBL Operations'!I7</x:f>
        <x:v>ABHI</x:v>
      </x:c>
      <x:c r="J28" s="39" t="str">
        <x:f>'Bank 07 - UBL Operations'!N7</x:f>
        <x:v>Loan advice</x:v>
      </x:c>
      <x:c r="K28" s="39" t="str">
        <x:v>1028</x:v>
      </x:c>
      <x:c r="L28" s="39" t="str">
        <x:v>PK49DUIB0000000627075001</x:v>
      </x:c>
      <x:c r="M28" s="39" t="str">
        <x:f>'Bank 07 - UBL Operations'!J7</x:f>
        <x:v>1041</x:v>
      </x:c>
      <x:c r="N28" s="39" t="str">
        <x:v>ABHI</x:v>
      </x:c>
      <x:c r="O28" s="39" t="str">
        <x:v>N/A</x:v>
      </x:c>
      <x:c r="P28" s="39" t="str">
        <x:v>TRUCK IT IN PVT LTD</x:v>
      </x:c>
      <x:c r="Q28" s="39" t="str">
        <x:v>Approved</x:v>
      </x:c>
      <x:c r="R28" s="39"/>
      <x:c r="S28" s="39" t="str">
        <x:v>Post</x:v>
      </x:c>
      <x:c r="T28" s="39" t="str">
        <x:f>'Bank 07 - UBL Operations'!L7</x:f>
        <x:v>Financing - Receipts</x:v>
      </x:c>
      <x:c r="U28" s="39" t="str">
        <x:f>'Bank 07 - UBL Operations'!K7</x:f>
        <x:v>Loan</x:v>
      </x:c>
      <x:c r="V28" s="41" t="str">
        <x:f>'Bank 07 - UBL Operations'!M7</x:f>
        <x:v>FS-000005</x:v>
      </x:c>
    </x:row>
    <x:row r="29">
      <x:c r="A29" s="47" t="str">
        <x:v>MAP-027</x:v>
      </x:c>
      <x:c r="B29" s="39" t="str">
        <x:v>UBL Operations</x:v>
      </x:c>
      <x:c r="C29" s="38" t="n">
        <x:f>'Bank 07 - UBL Operations'!A8</x:f>
        <x:v>45846</x:v>
      </x:c>
      <x:c r="D29" s="39" t="str">
        <x:f>'Bank 07 - UBL Operations'!C8</x:f>
        <x:v>Advance income tax payment</x:v>
      </x:c>
      <x:c r="E29" s="39" t="str">
        <x:f>'Bank 07 - UBL Operations'!D8</x:f>
        <x:v>B07-002</x:v>
      </x:c>
      <x:c r="F29" s="40" t="n">
        <x:f>'Bank 07 - UBL Operations'!E8</x:f>
        <x:v>70000</x:v>
      </x:c>
      <x:c r="G29" s="40" t="n">
        <x:f>'Bank 07 - UBL Operations'!F8</x:f>
        <x:v>0</x:v>
      </x:c>
      <x:c r="H29" s="39" t="str">
        <x:f>'Bank 07 - UBL Operations'!H8</x:f>
        <x:v>Income tax payment</x:v>
      </x:c>
      <x:c r="I29" s="39" t="str">
        <x:f>'Bank 07 - UBL Operations'!I8</x:f>
        <x:v>FBR</x:v>
      </x:c>
      <x:c r="J29" s="39" t="str">
        <x:f>'Bank 07 - UBL Operations'!N8</x:f>
        <x:v>Tax challan</x:v>
      </x:c>
      <x:c r="K29" s="39" t="str">
        <x:v>1028</x:v>
      </x:c>
      <x:c r="L29" s="39" t="str">
        <x:v>PK49DUIB0000000627075001</x:v>
      </x:c>
      <x:c r="M29" s="39" t="str">
        <x:f>'Bank 07 - UBL Operations'!J8</x:f>
        <x:v>1044</x:v>
      </x:c>
      <x:c r="N29" s="39" t="str">
        <x:v>Advance tax</x:v>
      </x:c>
      <x:c r="O29" s="39" t="str">
        <x:v>N/A</x:v>
      </x:c>
      <x:c r="P29" s="39" t="str">
        <x:v>TRUCK IT IN PVT LTD</x:v>
      </x:c>
      <x:c r="Q29" s="39" t="str">
        <x:v>Approved</x:v>
      </x:c>
      <x:c r="R29" s="39"/>
      <x:c r="S29" s="39" t="str">
        <x:v>Post</x:v>
      </x:c>
      <x:c r="T29" s="39" t="str">
        <x:f>'Bank 07 - UBL Operations'!L8</x:f>
        <x:v>Operating - Payments</x:v>
      </x:c>
      <x:c r="U29" s="39" t="str">
        <x:f>'Bank 07 - UBL Operations'!K8</x:f>
        <x:v>Income Tax</x:v>
      </x:c>
      <x:c r="V29" s="41" t="str">
        <x:f>'Bank 07 - UBL Operations'!M8</x:f>
        <x:v>FS-000017</x:v>
      </x:c>
    </x:row>
    <x:row r="30">
      <x:c r="A30" s="47" t="str">
        <x:v>MAP-028</x:v>
      </x:c>
      <x:c r="B30" s="39" t="str">
        <x:v>UBL Operations</x:v>
      </x:c>
      <x:c r="C30" s="38" t="n">
        <x:f>'Bank 07 - UBL Operations'!A9</x:f>
        <x:v>45847</x:v>
      </x:c>
      <x:c r="D30" s="39" t="str">
        <x:f>'Bank 07 - UBL Operations'!C9</x:f>
        <x:v>Sales tax payment</x:v>
      </x:c>
      <x:c r="E30" s="39" t="str">
        <x:f>'Bank 07 - UBL Operations'!D9</x:f>
        <x:v>B07-003</x:v>
      </x:c>
      <x:c r="F30" s="40" t="n">
        <x:f>'Bank 07 - UBL Operations'!E9</x:f>
        <x:v>120000</x:v>
      </x:c>
      <x:c r="G30" s="40" t="n">
        <x:f>'Bank 07 - UBL Operations'!F9</x:f>
        <x:v>0</x:v>
      </x:c>
      <x:c r="H30" s="39" t="str">
        <x:f>'Bank 07 - UBL Operations'!H9</x:f>
        <x:v>Sales tax payment</x:v>
      </x:c>
      <x:c r="I30" s="39" t="str">
        <x:f>'Bank 07 - UBL Operations'!I9</x:f>
        <x:v>FBR</x:v>
      </x:c>
      <x:c r="J30" s="39" t="str">
        <x:f>'Bank 07 - UBL Operations'!N9</x:f>
        <x:v>Tax challan</x:v>
      </x:c>
      <x:c r="K30" s="39" t="str">
        <x:v>1028</x:v>
      </x:c>
      <x:c r="L30" s="39" t="str">
        <x:v>PK49DUIB0000000627075001</x:v>
      </x:c>
      <x:c r="M30" s="39" t="str">
        <x:f>'Bank 07 - UBL Operations'!J9</x:f>
        <x:v>1032</x:v>
      </x:c>
      <x:c r="N30" s="39" t="str">
        <x:v>Sales Tax Payable</x:v>
      </x:c>
      <x:c r="O30" s="39" t="str">
        <x:v>N/A</x:v>
      </x:c>
      <x:c r="P30" s="39" t="str">
        <x:v>TRUCK IT IN PVT LTD</x:v>
      </x:c>
      <x:c r="Q30" s="39" t="str">
        <x:v>Approved</x:v>
      </x:c>
      <x:c r="R30" s="39"/>
      <x:c r="S30" s="39" t="str">
        <x:v>Post</x:v>
      </x:c>
      <x:c r="T30" s="39" t="str">
        <x:f>'Bank 07 - UBL Operations'!L9</x:f>
        <x:v>Operating - Payments</x:v>
      </x:c>
      <x:c r="U30" s="39" t="str">
        <x:f>'Bank 07 - UBL Operations'!K9</x:f>
        <x:v>Sales Tax</x:v>
      </x:c>
      <x:c r="V30" s="41" t="str">
        <x:f>'Bank 07 - UBL Operations'!M9</x:f>
        <x:v>FS-000018</x:v>
      </x:c>
    </x:row>
    <x:row r="31">
      <x:c r="A31" s="47" t="str">
        <x:v>MAP-029</x:v>
      </x:c>
      <x:c r="B31" s="39" t="str">
        <x:v>UBL Operations</x:v>
      </x:c>
      <x:c r="C31" s="38" t="n">
        <x:f>'Bank 07 - UBL Operations'!A10</x:f>
        <x:v>45848</x:v>
      </x:c>
      <x:c r="D31" s="39" t="str">
        <x:f>'Bank 07 - UBL Operations'!C10</x:f>
        <x:v>Transfer to MCB Corporate</x:v>
      </x:c>
      <x:c r="E31" s="39" t="str">
        <x:f>'Bank 07 - UBL Operations'!D10</x:f>
        <x:v>TRF-07-08</x:v>
      </x:c>
      <x:c r="F31" s="40" t="n">
        <x:f>'Bank 07 - UBL Operations'!E10</x:f>
        <x:v>200000</x:v>
      </x:c>
      <x:c r="G31" s="40" t="n">
        <x:f>'Bank 07 - UBL Operations'!F10</x:f>
        <x:v>0</x:v>
      </x:c>
      <x:c r="H31" s="39" t="str">
        <x:f>'Bank 07 - UBL Operations'!H10</x:f>
        <x:v>Inter-bank transfer</x:v>
      </x:c>
      <x:c r="I31" s="39" t="str">
        <x:f>'Bank 07 - UBL Operations'!I10</x:f>
        <x:v>MCB Corporate</x:v>
      </x:c>
      <x:c r="J31" s="39" t="str">
        <x:f>'Bank 07 - UBL Operations'!N10</x:f>
        <x:v>Transfer advice</x:v>
      </x:c>
      <x:c r="K31" s="39" t="str">
        <x:v>1028</x:v>
      </x:c>
      <x:c r="L31" s="39" t="str">
        <x:v>PK49DUIB0000000627075001</x:v>
      </x:c>
      <x:c r="M31" s="39" t="str">
        <x:f>'Bank 07 - UBL Operations'!J10</x:f>
        <x:v>1031</x:v>
      </x:c>
      <x:c r="N31" s="39" t="str">
        <x:v>PK75MPBL0124067140164610</x:v>
      </x:c>
      <x:c r="O31" s="39" t="str">
        <x:v>N/A</x:v>
      </x:c>
      <x:c r="P31" s="39" t="str">
        <x:v>TRUCK IT IN PVT LTD</x:v>
      </x:c>
      <x:c r="Q31" s="39" t="str">
        <x:v>Approved</x:v>
      </x:c>
      <x:c r="R31" s="39" t="str">
        <x:v>TRF-07-08</x:v>
      </x:c>
      <x:c r="S31" s="39" t="str">
        <x:v>Post</x:v>
      </x:c>
      <x:c r="T31" s="39" t="str">
        <x:f>'Bank 07 - UBL Operations'!L10</x:f>
        <x:v>Transfer</x:v>
      </x:c>
      <x:c r="U31" s="39" t="str">
        <x:f>'Bank 07 - UBL Operations'!K10</x:f>
        <x:v>Contra</x:v>
      </x:c>
      <x:c r="V31" s="41" t="str">
        <x:f>'Bank 07 - UBL Operations'!M10</x:f>
        <x:v>FS-000020</x:v>
      </x:c>
    </x:row>
    <x:row r="32">
      <x:c r="A32" s="47" t="str">
        <x:v>MAP-030</x:v>
      </x:c>
      <x:c r="B32" s="39" t="str">
        <x:v>MCB Corporate</x:v>
      </x:c>
      <x:c r="C32" s="38" t="n">
        <x:f>'Bank 08 - MCB Corporate'!A7</x:f>
        <x:v>45846</x:v>
      </x:c>
      <x:c r="D32" s="39" t="str">
        <x:f>'Bank 08 - MCB Corporate'!C7</x:f>
        <x:v>Transfer received from UBL Operations</x:v>
      </x:c>
      <x:c r="E32" s="39" t="str">
        <x:f>'Bank 08 - MCB Corporate'!D7</x:f>
        <x:v>TRF-07-08</x:v>
      </x:c>
      <x:c r="F32" s="40" t="n">
        <x:f>'Bank 08 - MCB Corporate'!E7</x:f>
        <x:v>0</x:v>
      </x:c>
      <x:c r="G32" s="40" t="n">
        <x:f>'Bank 08 - MCB Corporate'!F7</x:f>
        <x:v>200000</x:v>
      </x:c>
      <x:c r="H32" s="39" t="str">
        <x:f>'Bank 08 - MCB Corporate'!H7</x:f>
        <x:v>Inter-bank transfer</x:v>
      </x:c>
      <x:c r="I32" s="39" t="str">
        <x:f>'Bank 08 - MCB Corporate'!I7</x:f>
        <x:v>UBL Operations</x:v>
      </x:c>
      <x:c r="J32" s="39" t="str">
        <x:f>'Bank 08 - MCB Corporate'!N7</x:f>
        <x:v>Transfer advice</x:v>
      </x:c>
      <x:c r="K32" s="39" t="str">
        <x:v>1031</x:v>
      </x:c>
      <x:c r="L32" s="39" t="str">
        <x:v>PK75MPBL0124067140164610</x:v>
      </x:c>
      <x:c r="M32" s="39" t="str">
        <x:f>'Bank 08 - MCB Corporate'!J7</x:f>
        <x:v>1028</x:v>
      </x:c>
      <x:c r="N32" s="39" t="str">
        <x:v>PK49DUIB0000000627075001</x:v>
      </x:c>
      <x:c r="O32" s="39" t="str">
        <x:v>N/A</x:v>
      </x:c>
      <x:c r="P32" s="39" t="str">
        <x:v>TRUCK IT IN PVT LTD</x:v>
      </x:c>
      <x:c r="Q32" s="39" t="str">
        <x:v>Approved</x:v>
      </x:c>
      <x:c r="R32" s="39" t="str">
        <x:v>TRF-07-08</x:v>
      </x:c>
      <x:c r="S32" s="39" t="str">
        <x:v>Post</x:v>
      </x:c>
      <x:c r="T32" s="39" t="str">
        <x:f>'Bank 08 - MCB Corporate'!L7</x:f>
        <x:v>Transfer</x:v>
      </x:c>
      <x:c r="U32" s="39" t="str">
        <x:f>'Bank 08 - MCB Corporate'!K7</x:f>
        <x:v>Contra</x:v>
      </x:c>
      <x:c r="V32" s="41" t="str">
        <x:f>'Bank 08 - MCB Corporate'!M7</x:f>
        <x:v>FS-000020</x:v>
      </x:c>
    </x:row>
    <x:row r="33">
      <x:c r="A33" s="47" t="str">
        <x:v>MAP-031</x:v>
      </x:c>
      <x:c r="B33" s="39" t="str">
        <x:v>MCB Corporate</x:v>
      </x:c>
      <x:c r="C33" s="38" t="n">
        <x:f>'Bank 08 - MCB Corporate'!A8</x:f>
        <x:v>45847</x:v>
      </x:c>
      <x:c r="D33" s="39" t="str">
        <x:f>'Bank 08 - MCB Corporate'!C8</x:f>
        <x:v>Holdco capital contribution</x:v>
      </x:c>
      <x:c r="E33" s="39" t="str">
        <x:f>'Bank 08 - MCB Corporate'!D8</x:f>
        <x:v>B08-002</x:v>
      </x:c>
      <x:c r="F33" s="40" t="n">
        <x:f>'Bank 08 - MCB Corporate'!E8</x:f>
        <x:v>0</x:v>
      </x:c>
      <x:c r="G33" s="40" t="n">
        <x:f>'Bank 08 - MCB Corporate'!F8</x:f>
        <x:v>200000</x:v>
      </x:c>
      <x:c r="H33" s="39" t="str">
        <x:f>'Bank 08 - MCB Corporate'!H8</x:f>
        <x:v>Capital contribution</x:v>
      </x:c>
      <x:c r="I33" s="39" t="str">
        <x:f>'Bank 08 - MCB Corporate'!I8</x:f>
        <x:v>Holdco</x:v>
      </x:c>
      <x:c r="J33" s="39" t="str">
        <x:f>'Bank 08 - MCB Corporate'!N8</x:f>
        <x:v>Capital confirmation</x:v>
      </x:c>
      <x:c r="K33" s="39" t="str">
        <x:v>1031</x:v>
      </x:c>
      <x:c r="L33" s="39" t="str">
        <x:v>PK75MPBL0124067140164610</x:v>
      </x:c>
      <x:c r="M33" s="39" t="str">
        <x:f>'Bank 08 - MCB Corporate'!J8</x:f>
        <x:v>1037</x:v>
      </x:c>
      <x:c r="N33" s="39" t="str">
        <x:v>Advance against issue of shares</x:v>
      </x:c>
      <x:c r="O33" s="39" t="str">
        <x:v>N/A</x:v>
      </x:c>
      <x:c r="P33" s="39" t="str">
        <x:v>TRUCK IT IN PVT LTD</x:v>
      </x:c>
      <x:c r="Q33" s="39" t="str">
        <x:v>Approved</x:v>
      </x:c>
      <x:c r="R33" s="39"/>
      <x:c r="S33" s="39" t="str">
        <x:v>Post</x:v>
      </x:c>
      <x:c r="T33" s="39" t="str">
        <x:f>'Bank 08 - MCB Corporate'!L8</x:f>
        <x:v>Financing - Receipts</x:v>
      </x:c>
      <x:c r="U33" s="39" t="str">
        <x:f>'Bank 08 - MCB Corporate'!K8</x:f>
        <x:v>Holdco</x:v>
      </x:c>
      <x:c r="V33" s="41" t="str">
        <x:f>'Bank 08 - MCB Corporate'!M8</x:f>
        <x:v>FS-000004</x:v>
      </x:c>
    </x:row>
    <x:row r="34">
      <x:c r="A34" s="47" t="str">
        <x:v>MAP-032</x:v>
      </x:c>
      <x:c r="B34" s="39" t="str">
        <x:v>MCB Corporate</x:v>
      </x:c>
      <x:c r="C34" s="38" t="n">
        <x:f>'Bank 08 - MCB Corporate'!A9</x:f>
        <x:v>45848</x:v>
      </x:c>
      <x:c r="D34" s="39" t="str">
        <x:f>'Bank 08 - MCB Corporate'!C9</x:f>
        <x:v>Intercompany settlement payment</x:v>
      </x:c>
      <x:c r="E34" s="39" t="str">
        <x:f>'Bank 08 - MCB Corporate'!D9</x:f>
        <x:v>B08-003</x:v>
      </x:c>
      <x:c r="F34" s="40" t="n">
        <x:f>'Bank 08 - MCB Corporate'!E9</x:f>
        <x:v>150000</x:v>
      </x:c>
      <x:c r="G34" s="40" t="n">
        <x:f>'Bank 08 - MCB Corporate'!F9</x:f>
        <x:v>0</x:v>
      </x:c>
      <x:c r="H34" s="39" t="str">
        <x:f>'Bank 08 - MCB Corporate'!H9</x:f>
        <x:v>Intercompany payment</x:v>
      </x:c>
      <x:c r="I34" s="39" t="str">
        <x:f>'Bank 08 - MCB Corporate'!I9</x:f>
        <x:v>ABHI</x:v>
      </x:c>
      <x:c r="J34" s="39" t="str">
        <x:f>'Bank 08 - MCB Corporate'!N9</x:f>
        <x:v>Settlement advice</x:v>
      </x:c>
      <x:c r="K34" s="39" t="str">
        <x:v>1031</x:v>
      </x:c>
      <x:c r="L34" s="39" t="str">
        <x:v>PK75MPBL0124067140164610</x:v>
      </x:c>
      <x:c r="M34" s="39" t="str">
        <x:f>'Bank 08 - MCB Corporate'!J9</x:f>
        <x:v>1041</x:v>
      </x:c>
      <x:c r="N34" s="39" t="str">
        <x:v>ABHI</x:v>
      </x:c>
      <x:c r="O34" s="39" t="str">
        <x:v>N/A</x:v>
      </x:c>
      <x:c r="P34" s="39" t="str">
        <x:v>TRUCK IT IN PVT LTD</x:v>
      </x:c>
      <x:c r="Q34" s="39" t="str">
        <x:v>Approved</x:v>
      </x:c>
      <x:c r="R34" s="39"/>
      <x:c r="S34" s="39" t="str">
        <x:v>Post</x:v>
      </x:c>
      <x:c r="T34" s="39" t="str">
        <x:f>'Bank 08 - MCB Corporate'!L9</x:f>
        <x:v>Financing - Payments</x:v>
      </x:c>
      <x:c r="U34" s="39" t="str">
        <x:f>'Bank 08 - MCB Corporate'!K9</x:f>
        <x:v>Intercompany</x:v>
      </x:c>
      <x:c r="V34" s="41" t="str">
        <x:f>'Bank 08 - MCB Corporate'!M9</x:f>
        <x:v>FS-000001</x:v>
      </x:c>
    </x:row>
    <x:row r="35">
      <x:c r="A35" s="47" t="str">
        <x:v>MAP-033</x:v>
      </x:c>
      <x:c r="B35" s="39" t="str">
        <x:v>HBL Reserve</x:v>
      </x:c>
      <x:c r="C35" s="38" t="n">
        <x:f>'Bank 09 - HBL Reserve'!A7</x:f>
        <x:v>45847</x:v>
      </x:c>
      <x:c r="D35" s="39" t="str">
        <x:f>'Bank 09 - HBL Reserve'!C7</x:f>
        <x:v>Customer collection — reserve account</x:v>
      </x:c>
      <x:c r="E35" s="39" t="str">
        <x:f>'Bank 09 - HBL Reserve'!D7</x:f>
        <x:v>B09-001</x:v>
      </x:c>
      <x:c r="F35" s="40" t="n">
        <x:f>'Bank 09 - HBL Reserve'!E7</x:f>
        <x:v>0</x:v>
      </x:c>
      <x:c r="G35" s="40" t="n">
        <x:f>'Bank 09 - HBL Reserve'!F7</x:f>
        <x:v>500000</x:v>
      </x:c>
      <x:c r="H35" s="39" t="str">
        <x:f>'Bank 09 - HBL Reserve'!H7</x:f>
        <x:v>Customer receipt</x:v>
      </x:c>
      <x:c r="I35" s="39" t="str">
        <x:f>'Bank 09 - HBL Reserve'!I7</x:f>
        <x:v>Merchants</x:v>
      </x:c>
      <x:c r="J35" s="39" t="str">
        <x:f>'Bank 09 - HBL Reserve'!N7</x:f>
        <x:v>Collection report</x:v>
      </x:c>
      <x:c r="K35" s="39" t="str">
        <x:v>1029</x:v>
      </x:c>
      <x:c r="L35" s="39" t="str">
        <x:v>PK55HABB0022827200508103</x:v>
      </x:c>
      <x:c r="M35" s="39" t="str">
        <x:f>'Bank 09 - HBL Reserve'!J7</x:f>
        <x:v>1050</x:v>
      </x:c>
      <x:c r="N35" s="39" t="str">
        <x:v>Sales revenue</x:v>
      </x:c>
      <x:c r="O35" s="39" t="str">
        <x:v>N/A</x:v>
      </x:c>
      <x:c r="P35" s="39" t="str">
        <x:v>TRUCK IT IN PVT LTD</x:v>
      </x:c>
      <x:c r="Q35" s="39" t="str">
        <x:v>Approved</x:v>
      </x:c>
      <x:c r="R35" s="39"/>
      <x:c r="S35" s="39" t="str">
        <x:v>Post</x:v>
      </x:c>
      <x:c r="T35" s="39" t="str">
        <x:f>'Bank 09 - HBL Reserve'!L7</x:f>
        <x:v>Operating - Receipts</x:v>
      </x:c>
      <x:c r="U35" s="39" t="str">
        <x:f>'Bank 09 - HBL Reserve'!K7</x:f>
        <x:v>Customer Collections</x:v>
      </x:c>
      <x:c r="V35" s="41" t="str">
        <x:f>'Bank 09 - HBL Reserve'!M7</x:f>
        <x:v>FS-000022</x:v>
      </x:c>
    </x:row>
    <x:row r="36">
      <x:c r="A36" s="47" t="str">
        <x:v>MAP-034</x:v>
      </x:c>
      <x:c r="B36" s="39" t="str">
        <x:v>HBL Reserve</x:v>
      </x:c>
      <x:c r="C36" s="38" t="n">
        <x:f>'Bank 09 - HBL Reserve'!A8</x:f>
        <x:v>45848</x:v>
      </x:c>
      <x:c r="D36" s="39" t="str">
        <x:f>'Bank 09 - HBL Reserve'!C8</x:f>
        <x:v>Partners margin settlement</x:v>
      </x:c>
      <x:c r="E36" s="39" t="str">
        <x:f>'Bank 09 - HBL Reserve'!D8</x:f>
        <x:v>B09-002</x:v>
      </x:c>
      <x:c r="F36" s="40" t="n">
        <x:f>'Bank 09 - HBL Reserve'!E8</x:f>
        <x:v>100000</x:v>
      </x:c>
      <x:c r="G36" s="40" t="n">
        <x:f>'Bank 09 - HBL Reserve'!F8</x:f>
        <x:v>0</x:v>
      </x:c>
      <x:c r="H36" s="39" t="str">
        <x:f>'Bank 09 - HBL Reserve'!H8</x:f>
        <x:v>Partners margin</x:v>
      </x:c>
      <x:c r="I36" s="39" t="str">
        <x:f>'Bank 09 - HBL Reserve'!I8</x:f>
        <x:v>Partner network</x:v>
      </x:c>
      <x:c r="J36" s="39" t="str">
        <x:f>'Bank 09 - HBL Reserve'!N8</x:f>
        <x:v>Settlement schedule</x:v>
      </x:c>
      <x:c r="K36" s="39" t="str">
        <x:v>1029</x:v>
      </x:c>
      <x:c r="L36" s="39" t="str">
        <x:v>PK55HABB0022827200508103</x:v>
      </x:c>
      <x:c r="M36" s="39" t="str">
        <x:f>'Bank 09 - HBL Reserve'!J8</x:f>
        <x:v>1068</x:v>
      </x:c>
      <x:c r="N36" s="39" t="str">
        <x:v>Other Expenses</x:v>
      </x:c>
      <x:c r="O36" s="39" t="str">
        <x:v>N/A</x:v>
      </x:c>
      <x:c r="P36" s="39" t="str">
        <x:v>TRUCK IT IN PVT LTD</x:v>
      </x:c>
      <x:c r="Q36" s="39" t="str">
        <x:v>Approved</x:v>
      </x:c>
      <x:c r="R36" s="39"/>
      <x:c r="S36" s="39" t="str">
        <x:v>Post</x:v>
      </x:c>
      <x:c r="T36" s="39" t="str">
        <x:f>'Bank 09 - HBL Reserve'!L8</x:f>
        <x:v>Operating - Payments</x:v>
      </x:c>
      <x:c r="U36" s="39" t="str">
        <x:f>'Bank 09 - HBL Reserve'!K8</x:f>
        <x:v>Partners Margin</x:v>
      </x:c>
      <x:c r="V36" s="41" t="str">
        <x:f>'Bank 09 - HBL Reserve'!M8</x:f>
        <x:v>FS-000009</x:v>
      </x:c>
    </x:row>
    <x:row r="37">
      <x:c r="A37" s="47" t="str">
        <x:v>MAP-035</x:v>
      </x:c>
      <x:c r="B37" s="39" t="str">
        <x:v>HBL Reserve</x:v>
      </x:c>
      <x:c r="C37" s="38" t="n">
        <x:f>'Bank 09 - HBL Reserve'!A9</x:f>
        <x:v>45849</x:v>
      </x:c>
      <x:c r="D37" s="39" t="str">
        <x:f>'Bank 09 - HBL Reserve'!C9</x:f>
        <x:v>Petty cash withdrawal</x:v>
      </x:c>
      <x:c r="E37" s="39" t="str">
        <x:f>'Bank 09 - HBL Reserve'!D9</x:f>
        <x:v>B09-003</x:v>
      </x:c>
      <x:c r="F37" s="40" t="n">
        <x:f>'Bank 09 - HBL Reserve'!E9</x:f>
        <x:v>30000</x:v>
      </x:c>
      <x:c r="G37" s="40" t="n">
        <x:f>'Bank 09 - HBL Reserve'!F9</x:f>
        <x:v>0</x:v>
      </x:c>
      <x:c r="H37" s="39" t="str">
        <x:f>'Bank 09 - HBL Reserve'!H9</x:f>
        <x:v>Cash withdrawal</x:v>
      </x:c>
      <x:c r="I37" s="39" t="str">
        <x:f>'Bank 09 - HBL Reserve'!I9</x:f>
        <x:v>Petty cash custodian</x:v>
      </x:c>
      <x:c r="J37" s="39" t="str">
        <x:f>'Bank 09 - HBL Reserve'!N9</x:f>
        <x:v>Cash withdrawal slip</x:v>
      </x:c>
      <x:c r="K37" s="39" t="str">
        <x:v>1029</x:v>
      </x:c>
      <x:c r="L37" s="39" t="str">
        <x:v>PK55HABB0022827200508103</x:v>
      </x:c>
      <x:c r="M37" s="39" t="str">
        <x:f>'Bank 09 - HBL Reserve'!J9</x:f>
        <x:v>1068</x:v>
      </x:c>
      <x:c r="N37" s="39" t="str">
        <x:v>Other Expenses</x:v>
      </x:c>
      <x:c r="O37" s="39" t="str">
        <x:v>N/A</x:v>
      </x:c>
      <x:c r="P37" s="39" t="str">
        <x:v>TRUCK IT IN PVT LTD</x:v>
      </x:c>
      <x:c r="Q37" s="39" t="str">
        <x:v>Approved</x:v>
      </x:c>
      <x:c r="R37" s="39"/>
      <x:c r="S37" s="39" t="str">
        <x:v>Post</x:v>
      </x:c>
      <x:c r="T37" s="39" t="str">
        <x:f>'Bank 09 - HBL Reserve'!L9</x:f>
        <x:v>Operating - Payments</x:v>
      </x:c>
      <x:c r="U37" s="39" t="str">
        <x:f>'Bank 09 - HBL Reserve'!K9</x:f>
        <x:v>Cash Withdrawal</x:v>
      </x:c>
      <x:c r="V37" s="41" t="str">
        <x:f>'Bank 09 - HBL Reserve'!M9</x:f>
        <x:v>FS-000024</x:v>
      </x:c>
    </x:row>
    <x:row r="38">
      <x:c r="A38" s="47" t="str">
        <x:v>MAP-036</x:v>
      </x:c>
      <x:c r="B38" s="39" t="str">
        <x:v>HBL Reserve</x:v>
      </x:c>
      <x:c r="C38" s="38" t="n">
        <x:f>'Bank 09 - HBL Reserve'!A10</x:f>
        <x:v>45850</x:v>
      </x:c>
      <x:c r="D38" s="39" t="str">
        <x:f>'Bank 09 - HBL Reserve'!C10</x:f>
        <x:v>Transfer to HBL Digital</x:v>
      </x:c>
      <x:c r="E38" s="39" t="str">
        <x:f>'Bank 09 - HBL Reserve'!D10</x:f>
        <x:v>TRF-09-10</x:v>
      </x:c>
      <x:c r="F38" s="40" t="n">
        <x:f>'Bank 09 - HBL Reserve'!E10</x:f>
        <x:v>100000</x:v>
      </x:c>
      <x:c r="G38" s="40" t="n">
        <x:f>'Bank 09 - HBL Reserve'!F10</x:f>
        <x:v>0</x:v>
      </x:c>
      <x:c r="H38" s="39" t="str">
        <x:f>'Bank 09 - HBL Reserve'!H10</x:f>
        <x:v>Inter-bank transfer</x:v>
      </x:c>
      <x:c r="I38" s="39" t="str">
        <x:f>'Bank 09 - HBL Reserve'!I10</x:f>
        <x:v>HBL Digital</x:v>
      </x:c>
      <x:c r="J38" s="39" t="str">
        <x:f>'Bank 09 - HBL Reserve'!N10</x:f>
        <x:v>Transfer advice</x:v>
      </x:c>
      <x:c r="K38" s="39" t="str">
        <x:v>1029</x:v>
      </x:c>
      <x:c r="L38" s="39" t="str">
        <x:v>PK55HABB0022827200508103</x:v>
      </x:c>
      <x:c r="M38" s="39" t="str">
        <x:f>'Bank 09 - HBL Reserve'!J10</x:f>
        <x:v>1029</x:v>
      </x:c>
      <x:c r="N38" s="39" t="str">
        <x:v>PK55HABB0022827200508103</x:v>
      </x:c>
      <x:c r="O38" s="39" t="str">
        <x:v>N/A</x:v>
      </x:c>
      <x:c r="P38" s="39" t="str">
        <x:v>TRUCK IT IN PVT LTD</x:v>
      </x:c>
      <x:c r="Q38" s="39" t="str">
        <x:v>Approved</x:v>
      </x:c>
      <x:c r="R38" s="39" t="str">
        <x:v>TRF-09-10</x:v>
      </x:c>
      <x:c r="S38" s="39" t="str">
        <x:v>Post</x:v>
      </x:c>
      <x:c r="T38" s="39" t="str">
        <x:f>'Bank 09 - HBL Reserve'!L10</x:f>
        <x:v>Transfer</x:v>
      </x:c>
      <x:c r="U38" s="39" t="str">
        <x:f>'Bank 09 - HBL Reserve'!K10</x:f>
        <x:v>Contra</x:v>
      </x:c>
      <x:c r="V38" s="41" t="str">
        <x:f>'Bank 09 - HBL Reserve'!M10</x:f>
        <x:v>FS-000020</x:v>
      </x:c>
    </x:row>
    <x:row r="39">
      <x:c r="A39" s="47" t="str">
        <x:v>MAP-037</x:v>
      </x:c>
      <x:c r="B39" s="39" t="str">
        <x:v>HBL Digital</x:v>
      </x:c>
      <x:c r="C39" s="38" t="n">
        <x:f>'Bank 10 - HBL Digital'!A7</x:f>
        <x:v>45848</x:v>
      </x:c>
      <x:c r="D39" s="39" t="str">
        <x:f>'Bank 10 - HBL Digital'!C7</x:f>
        <x:v>Transfer received from HBL Reserve</x:v>
      </x:c>
      <x:c r="E39" s="39" t="str">
        <x:f>'Bank 10 - HBL Digital'!D7</x:f>
        <x:v>TRF-09-10</x:v>
      </x:c>
      <x:c r="F39" s="40" t="n">
        <x:f>'Bank 10 - HBL Digital'!E7</x:f>
        <x:v>0</x:v>
      </x:c>
      <x:c r="G39" s="40" t="n">
        <x:f>'Bank 10 - HBL Digital'!F7</x:f>
        <x:v>100000</x:v>
      </x:c>
      <x:c r="H39" s="39" t="str">
        <x:f>'Bank 10 - HBL Digital'!H7</x:f>
        <x:v>Inter-bank transfer</x:v>
      </x:c>
      <x:c r="I39" s="39" t="str">
        <x:f>'Bank 10 - HBL Digital'!I7</x:f>
        <x:v>HBL Reserve</x:v>
      </x:c>
      <x:c r="J39" s="39" t="str">
        <x:f>'Bank 10 - HBL Digital'!N7</x:f>
        <x:v>Transfer advice</x:v>
      </x:c>
      <x:c r="K39" s="39" t="str">
        <x:v>1029</x:v>
      </x:c>
      <x:c r="L39" s="39" t="str">
        <x:v>PK55HABB0022827200508103</x:v>
      </x:c>
      <x:c r="M39" s="39" t="str">
        <x:f>'Bank 10 - HBL Digital'!J7</x:f>
        <x:v>1029</x:v>
      </x:c>
      <x:c r="N39" s="39" t="str">
        <x:v>PK55HABB0022827200508103</x:v>
      </x:c>
      <x:c r="O39" s="39" t="str">
        <x:v>N/A</x:v>
      </x:c>
      <x:c r="P39" s="39" t="str">
        <x:v>TRUCK IT IN PVT LTD</x:v>
      </x:c>
      <x:c r="Q39" s="39" t="str">
        <x:v>Approved</x:v>
      </x:c>
      <x:c r="R39" s="39" t="str">
        <x:v>TRF-09-10</x:v>
      </x:c>
      <x:c r="S39" s="39" t="str">
        <x:v>Post</x:v>
      </x:c>
      <x:c r="T39" s="39" t="str">
        <x:f>'Bank 10 - HBL Digital'!L7</x:f>
        <x:v>Transfer</x:v>
      </x:c>
      <x:c r="U39" s="39" t="str">
        <x:f>'Bank 10 - HBL Digital'!K7</x:f>
        <x:v>Contra</x:v>
      </x:c>
      <x:c r="V39" s="41" t="str">
        <x:f>'Bank 10 - HBL Digital'!M7</x:f>
        <x:v>FS-000020</x:v>
      </x:c>
    </x:row>
    <x:row r="40">
      <x:c r="A40" s="47" t="str">
        <x:v>MAP-038</x:v>
      </x:c>
      <x:c r="B40" s="39" t="str">
        <x:v>HBL Digital</x:v>
      </x:c>
      <x:c r="C40" s="38" t="n">
        <x:f>'Bank 10 - HBL Digital'!A8</x:f>
        <x:v>45849</x:v>
      </x:c>
      <x:c r="D40" s="39" t="str">
        <x:f>'Bank 10 - HBL Digital'!C8</x:f>
        <x:v>Customer collection — digital wallet</x:v>
      </x:c>
      <x:c r="E40" s="39" t="str">
        <x:f>'Bank 10 - HBL Digital'!D8</x:f>
        <x:v>B10-002</x:v>
      </x:c>
      <x:c r="F40" s="40" t="n">
        <x:f>'Bank 10 - HBL Digital'!E8</x:f>
        <x:v>0</x:v>
      </x:c>
      <x:c r="G40" s="40" t="n">
        <x:f>'Bank 10 - HBL Digital'!F8</x:f>
        <x:v>200000</x:v>
      </x:c>
      <x:c r="H40" s="39" t="str">
        <x:f>'Bank 10 - HBL Digital'!H8</x:f>
        <x:v>Customer receipt</x:v>
      </x:c>
      <x:c r="I40" s="39" t="str">
        <x:f>'Bank 10 - HBL Digital'!I8</x:f>
        <x:v>Digital wallet</x:v>
      </x:c>
      <x:c r="J40" s="39" t="str">
        <x:f>'Bank 10 - HBL Digital'!N8</x:f>
        <x:v>Collection report</x:v>
      </x:c>
      <x:c r="K40" s="39" t="str">
        <x:v>1029</x:v>
      </x:c>
      <x:c r="L40" s="39" t="str">
        <x:v>PK55HABB0022827200508103</x:v>
      </x:c>
      <x:c r="M40" s="39" t="str">
        <x:f>'Bank 10 - HBL Digital'!J8</x:f>
        <x:v>1050</x:v>
      </x:c>
      <x:c r="N40" s="39" t="str">
        <x:v>Sales revenue</x:v>
      </x:c>
      <x:c r="O40" s="39" t="str">
        <x:v>N/A</x:v>
      </x:c>
      <x:c r="P40" s="39" t="str">
        <x:v>TRUCK IT IN PVT LTD</x:v>
      </x:c>
      <x:c r="Q40" s="39" t="str">
        <x:v>Approved</x:v>
      </x:c>
      <x:c r="R40" s="39"/>
      <x:c r="S40" s="39" t="str">
        <x:v>Post</x:v>
      </x:c>
      <x:c r="T40" s="39" t="str">
        <x:f>'Bank 10 - HBL Digital'!L8</x:f>
        <x:v>Operating - Receipts</x:v>
      </x:c>
      <x:c r="U40" s="39" t="str">
        <x:f>'Bank 10 - HBL Digital'!K8</x:f>
        <x:v>Customer Collections</x:v>
      </x:c>
      <x:c r="V40" s="41" t="str">
        <x:f>'Bank 10 - HBL Digital'!M8</x:f>
        <x:v>FS-000022</x:v>
      </x:c>
    </x:row>
    <x:row r="41">
      <x:c r="A41" s="47" t="str">
        <x:v>MAP-039</x:v>
      </x:c>
      <x:c r="B41" s="39" t="str">
        <x:v>HBL Digital</x:v>
      </x:c>
      <x:c r="C41" s="38" t="n">
        <x:f>'Bank 10 - HBL Digital'!A9</x:f>
        <x:v>45850</x:v>
      </x:c>
      <x:c r="D41" s="39" t="str">
        <x:f>'Bank 10 - HBL Digital'!C9</x:f>
        <x:v>Bank service charges</x:v>
      </x:c>
      <x:c r="E41" s="39" t="str">
        <x:f>'Bank 10 - HBL Digital'!D9</x:f>
        <x:v>B10-003</x:v>
      </x:c>
      <x:c r="F41" s="40" t="n">
        <x:f>'Bank 10 - HBL Digital'!E9</x:f>
        <x:v>6000</x:v>
      </x:c>
      <x:c r="G41" s="40" t="n">
        <x:f>'Bank 10 - HBL Digital'!F9</x:f>
        <x:v>0</x:v>
      </x:c>
      <x:c r="H41" s="39" t="str">
        <x:f>'Bank 10 - HBL Digital'!H9</x:f>
        <x:v>Bank charges</x:v>
      </x:c>
      <x:c r="I41" s="39" t="str">
        <x:f>'Bank 10 - HBL Digital'!I9</x:f>
        <x:v>HBL</x:v>
      </x:c>
      <x:c r="J41" s="39" t="str">
        <x:f>'Bank 10 - HBL Digital'!N9</x:f>
        <x:v>Bank statement</x:v>
      </x:c>
      <x:c r="K41" s="39" t="str">
        <x:v>1029</x:v>
      </x:c>
      <x:c r="L41" s="39" t="str">
        <x:v>PK55HABB0022827200508103</x:v>
      </x:c>
      <x:c r="M41" s="39" t="str">
        <x:f>'Bank 10 - HBL Digital'!J9</x:f>
        <x:v>1057</x:v>
      </x:c>
      <x:c r="N41" s="39" t="str">
        <x:v>Bank Charges</x:v>
      </x:c>
      <x:c r="O41" s="39" t="str">
        <x:v>N/A</x:v>
      </x:c>
      <x:c r="P41" s="39" t="str">
        <x:v>TRUCK IT IN PVT LTD</x:v>
      </x:c>
      <x:c r="Q41" s="39" t="str">
        <x:v>Approved</x:v>
      </x:c>
      <x:c r="R41" s="39"/>
      <x:c r="S41" s="39" t="str">
        <x:v>Post</x:v>
      </x:c>
      <x:c r="T41" s="39" t="str">
        <x:f>'Bank 10 - HBL Digital'!L9</x:f>
        <x:v>Operating - Payments</x:v>
      </x:c>
      <x:c r="U41" s="39" t="str">
        <x:f>'Bank 10 - HBL Digital'!K9</x:f>
        <x:v>Bank Charges</x:v>
      </x:c>
      <x:c r="V41" s="41" t="str">
        <x:f>'Bank 10 - HBL Digital'!M9</x:f>
        <x:v>FS-000008</x:v>
      </x:c>
    </x:row>
    <x:row r="42">
      <x:c r="A42" s="48" t="str">
        <x:v>MAP-040</x:v>
      </x:c>
      <x:c r="B42" s="44" t="str">
        <x:v>HBL Digital</x:v>
      </x:c>
      <x:c r="C42" s="43" t="n">
        <x:f>'Bank 10 - HBL Digital'!A10</x:f>
        <x:v>45851</x:v>
      </x:c>
      <x:c r="D42" s="44" t="str">
        <x:f>'Bank 10 - HBL Digital'!C10</x:f>
        <x:v>Vendor withholding tax payment</x:v>
      </x:c>
      <x:c r="E42" s="44" t="str">
        <x:f>'Bank 10 - HBL Digital'!D10</x:f>
        <x:v>B10-004</x:v>
      </x:c>
      <x:c r="F42" s="45" t="n">
        <x:f>'Bank 10 - HBL Digital'!E10</x:f>
        <x:v>12000</x:v>
      </x:c>
      <x:c r="G42" s="45" t="n">
        <x:f>'Bank 10 - HBL Digital'!F10</x:f>
        <x:v>0</x:v>
      </x:c>
      <x:c r="H42" s="44" t="str">
        <x:f>'Bank 10 - HBL Digital'!H10</x:f>
        <x:v>Vendor tax payment</x:v>
      </x:c>
      <x:c r="I42" s="44" t="str">
        <x:f>'Bank 10 - HBL Digital'!I10</x:f>
        <x:v>FBR</x:v>
      </x:c>
      <x:c r="J42" s="44" t="str">
        <x:f>'Bank 10 - HBL Digital'!N10</x:f>
        <x:v>Tax challan</x:v>
      </x:c>
      <x:c r="K42" s="44" t="str">
        <x:v>1029</x:v>
      </x:c>
      <x:c r="L42" s="44" t="str">
        <x:v>PK55HABB0022827200508103</x:v>
      </x:c>
      <x:c r="M42" s="44" t="str">
        <x:f>'Bank 10 - HBL Digital'!J10</x:f>
        <x:v>1036</x:v>
      </x:c>
      <x:c r="N42" s="44" t="str">
        <x:v>Withholding tax payable:Withholding tax - Vendors</x:v>
      </x:c>
      <x:c r="O42" s="44" t="str">
        <x:v>N/A</x:v>
      </x:c>
      <x:c r="P42" s="44" t="str">
        <x:v>TRUCK IT IN PVT LTD</x:v>
      </x:c>
      <x:c r="Q42" s="44" t="str">
        <x:v>Approved</x:v>
      </x:c>
      <x:c r="R42" s="44"/>
      <x:c r="S42" s="44" t="str">
        <x:v>Post</x:v>
      </x:c>
      <x:c r="T42" s="44" t="str">
        <x:f>'Bank 10 - HBL Digital'!L10</x:f>
        <x:v>Operating - Payments</x:v>
      </x:c>
      <x:c r="U42" s="44" t="str">
        <x:f>'Bank 10 - HBL Digital'!K10</x:f>
        <x:v>WHT Vendor</x:v>
      </x:c>
      <x:c r="V42" s="46" t="str">
        <x:f>'Bank 10 - HBL Digital'!M10</x:f>
        <x:v>FS-000023</x:v>
      </x:c>
    </x:row>
  </x:sheetData>
  <x:mergeCells>
    <x:mergeCell ref="A1:V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2" hidden="0" customWidth="1"/>
    <x:col min="4" max="4" width="14" hidden="0" customWidth="1"/>
    <x:col min="5" max="5" width="32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18" hidden="0" customWidth="1"/>
    <x:col min="12" max="12" width="25" hidden="0" customWidth="1"/>
    <x:col min="13" max="13" width="14" hidden="0" customWidth="1"/>
  </x:cols>
  <x:sheetData>
    <x:row r="1" ht="26" customHeight="1">
      <x:c r="A1" s="3" t="str">
        <x:v>Non-Bank Entries — Formula Input</x:v>
      </x:c>
    </x:row>
    <x:row r="2">
      <x:c r="A2" s="19" t="str">
        <x:v>JE ID</x:v>
      </x:c>
      <x:c r="B2" s="20" t="str">
        <x:v>Date</x:v>
      </x:c>
      <x:c r="C2" s="20" t="str">
        <x:v>Description</x:v>
      </x:c>
      <x:c r="D2" s="20" t="str">
        <x:v>GL Code</x:v>
      </x:c>
      <x:c r="E2" s="20" t="str">
        <x:v>GL Account</x:v>
      </x:c>
      <x:c r="F2" s="20" t="str">
        <x:v>Debit</x:v>
      </x:c>
      <x:c r="G2" s="20" t="str">
        <x:v>Credit</x:v>
      </x:c>
      <x:c r="H2" s="20" t="str">
        <x:v>Entity</x:v>
      </x:c>
      <x:c r="I2" s="20" t="str">
        <x:v>Tax Treatment</x:v>
      </x:c>
      <x:c r="J2" s="20" t="str">
        <x:v>Posting Status</x:v>
      </x:c>
      <x:c r="K2" s="20" t="str">
        <x:v>Cash Flow Category</x:v>
      </x:c>
      <x:c r="L2" s="20" t="str">
        <x:v>FS Taggings name</x:v>
      </x:c>
      <x:c r="M2" s="21" t="str">
        <x:v>FS Tag</x:v>
      </x:c>
    </x:row>
    <x:row r="3">
      <x:c r="A3" s="22" t="str">
        <x:v>NB-001</x:v>
      </x:c>
      <x:c r="B3" s="34" t="n">
        <x:v>45869</x:v>
      </x:c>
      <x:c r="C3" s="23" t="str">
        <x:v>Monthly depreciation</x:v>
      </x:c>
      <x:c r="D3" s="23" t="n">
        <x:v>1064</x:v>
      </x:c>
      <x:c r="E3" s="23" t="str">
        <x:v>Depreciation</x:v>
      </x:c>
      <x:c r="F3" s="30" t="n">
        <x:v>50000</x:v>
      </x:c>
      <x:c r="G3" s="30" t="n">
        <x:v>0</x:v>
      </x:c>
      <x:c r="H3" s="23" t="str">
        <x:v>TRUCK IT IN PVT LTD</x:v>
      </x:c>
      <x:c r="I3" s="23" t="str">
        <x:v>N/A</x:v>
      </x:c>
      <x:c r="J3" s="23" t="str">
        <x:v>Posted</x:v>
      </x:c>
      <x:c r="K3" s="23" t="str">
        <x:v>Non-cash</x:v>
      </x:c>
      <x:c r="L3" s="23" t="str"/>
      <x:c r="M3" s="24" t="str"/>
    </x:row>
    <x:row r="4">
      <x:c r="A4" s="25" t="str">
        <x:v>NB-001</x:v>
      </x:c>
      <x:c r="B4" s="36" t="n">
        <x:v>45869</x:v>
      </x:c>
      <x:c r="C4" s="26" t="str">
        <x:v>Monthly depreciation</x:v>
      </x:c>
      <x:c r="D4" s="26" t="n">
        <x:v>1017</x:v>
      </x:c>
      <x:c r="E4" s="26" t="str">
        <x:v>Accumulated depreciation</x:v>
      </x:c>
      <x:c r="F4" s="31" t="n">
        <x:v>0</x:v>
      </x:c>
      <x:c r="G4" s="31" t="n">
        <x:v>50000</x:v>
      </x:c>
      <x:c r="H4" s="26" t="str">
        <x:v>TRUCK IT IN PVT LTD</x:v>
      </x:c>
      <x:c r="I4" s="26" t="str">
        <x:v>N/A</x:v>
      </x:c>
      <x:c r="J4" s="26" t="str">
        <x:v>Posted</x:v>
      </x:c>
      <x:c r="K4" s="26" t="str">
        <x:v>Non-cash</x:v>
      </x:c>
      <x:c r="L4" s="26" t="str"/>
      <x:c r="M4" s="27" t="str"/>
    </x:row>
  </x:sheetData>
  <x:mergeCells>
    <x:mergeCell ref="A1:M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8" hidden="0" customWidth="1"/>
    <x:col min="5" max="5" width="42" hidden="0" customWidth="1"/>
    <x:col min="6" max="6" width="14" hidden="0" customWidth="1"/>
    <x:col min="7" max="7" width="32" hidden="0" customWidth="1"/>
    <x:col min="8" max="8" width="14" hidden="0" customWidth="1"/>
    <x:col min="9" max="9" width="14" hidden="0" customWidth="1"/>
    <x:col min="10" max="10" width="22" hidden="0" customWidth="1"/>
    <x:col min="11" max="11" width="16" hidden="0" customWidth="1"/>
    <x:col min="12" max="12" width="15" hidden="0" customWidth="1"/>
    <x:col min="13" max="13" width="22" hidden="0" customWidth="1"/>
    <x:col min="14" max="14" width="14" hidden="0" customWidth="1"/>
  </x:cols>
  <x:sheetData>
    <x:row r="1" ht="26" customHeight="1">
      <x:c r="A1" s="3" t="str">
        <x:v>Journal Entries — Formula Linked</x:v>
      </x:c>
    </x:row>
    <x:row r="2">
      <x:c r="A2" s="19" t="str">
        <x:v>JE ID</x:v>
      </x:c>
      <x:c r="B2" s="20" t="str">
        <x:v>Date</x:v>
      </x:c>
      <x:c r="C2" s="20" t="str">
        <x:v>Source</x:v>
      </x:c>
      <x:c r="D2" s="20" t="str">
        <x:v>Source Reference</x:v>
      </x:c>
      <x:c r="E2" s="20" t="str">
        <x:v>Description</x:v>
      </x:c>
      <x:c r="F2" s="20" t="str">
        <x:v>GL Code</x:v>
      </x:c>
      <x:c r="G2" s="20" t="str">
        <x:v>GL Account</x:v>
      </x:c>
      <x:c r="H2" s="20" t="str">
        <x:v>Debit</x:v>
      </x:c>
      <x:c r="I2" s="20" t="str">
        <x:v>Credit</x:v>
      </x:c>
      <x:c r="J2" s="20" t="str">
        <x:v>Entity</x:v>
      </x:c>
      <x:c r="K2" s="20" t="str">
        <x:v>Tax Treatment</x:v>
      </x:c>
      <x:c r="L2" s="20" t="str">
        <x:v>Posting Status</x:v>
      </x:c>
      <x:c r="M2" s="20" t="str">
        <x:v>Cash Flow Category</x:v>
      </x:c>
      <x:c r="N2" s="21" t="str">
        <x:v>FS Tag</x:v>
      </x:c>
    </x:row>
    <x:row r="3">
      <x:c r="A3" s="22" t="str">
        <x:f>"JE-001"</x:f>
        <x:v>JE-001</x:v>
      </x:c>
      <x:c r="B3" s="34" t="n">
        <x:f>'Transaction Mapping'!C3</x:f>
        <x:v>45839</x:v>
      </x:c>
      <x:c r="C3" s="23" t="str">
        <x:f>"Bank Statement"</x:f>
        <x:v>Bank Statement</x:v>
      </x:c>
      <x:c r="D3" s="23" t="str">
        <x:f>'Transaction Mapping'!E3</x:f>
        <x:v>B01-001</x:v>
      </x:c>
      <x:c r="E3" s="23" t="str">
        <x:f>'Transaction Mapping'!D3</x:f>
        <x:v>Customer collection — merchant settlement</x:v>
      </x:c>
      <x:c r="F3" s="23" t="str">
        <x:f>'Transaction Mapping'!K3</x:f>
        <x:v>1029</x:v>
      </x:c>
      <x:c r="G3" s="23" t="str">
        <x:f>'Transaction Mapping'!L3</x:f>
        <x:v>PK55HABB0022827200508103</x:v>
      </x:c>
      <x:c r="H3" s="30" t="n">
        <x:f>'Transaction Mapping'!G3</x:f>
        <x:v>800000</x:v>
      </x:c>
      <x:c r="I3" s="30" t="n">
        <x:f>'Transaction Mapping'!F3</x:f>
        <x:v>0</x:v>
      </x:c>
      <x:c r="J3" s="23" t="str">
        <x:f>'Transaction Mapping'!P3</x:f>
        <x:v>TRUCK IT IN PVT LTD</x:v>
      </x:c>
      <x:c r="K3" s="23" t="str">
        <x:f>"N/A"</x:f>
        <x:v>N/A</x:v>
      </x:c>
      <x:c r="L3" s="23" t="str">
        <x:f>"Posted"</x:f>
        <x:v>Posted</x:v>
      </x:c>
      <x:c r="M3" s="23" t="str">
        <x:f>'Transaction Mapping'!T3</x:f>
        <x:v>Operating - Receipts</x:v>
      </x:c>
      <x:c r="N3" s="24" t="str">
        <x:f>'Transaction Mapping'!V3</x:f>
        <x:v>FS-000022</x:v>
      </x:c>
    </x:row>
    <x:row r="4">
      <x:c r="A4" s="22" t="str">
        <x:f>"JE-001"</x:f>
        <x:v>JE-001</x:v>
      </x:c>
      <x:c r="B4" s="34" t="n">
        <x:f>'Transaction Mapping'!C3</x:f>
        <x:v>45839</x:v>
      </x:c>
      <x:c r="C4" s="23" t="str">
        <x:f>"Bank Statement"</x:f>
        <x:v>Bank Statement</x:v>
      </x:c>
      <x:c r="D4" s="23" t="str">
        <x:f>'Transaction Mapping'!E3</x:f>
        <x:v>B01-001</x:v>
      </x:c>
      <x:c r="E4" s="23" t="str">
        <x:f>'Transaction Mapping'!D3</x:f>
        <x:v>Customer collection — merchant settlement</x:v>
      </x:c>
      <x:c r="F4" s="23" t="str">
        <x:f>'Transaction Mapping'!M3</x:f>
        <x:v>1050</x:v>
      </x:c>
      <x:c r="G4" s="23" t="str">
        <x:f>'Transaction Mapping'!N3</x:f>
        <x:v>Sales revenue</x:v>
      </x:c>
      <x:c r="H4" s="30" t="n">
        <x:f>'Transaction Mapping'!F3</x:f>
        <x:v>0</x:v>
      </x:c>
      <x:c r="I4" s="30" t="n">
        <x:f>'Transaction Mapping'!G3</x:f>
        <x:v>800000</x:v>
      </x:c>
      <x:c r="J4" s="23" t="str">
        <x:f>'Transaction Mapping'!P3</x:f>
        <x:v>TRUCK IT IN PVT LTD</x:v>
      </x:c>
      <x:c r="K4" s="23" t="str">
        <x:f>"N/A"</x:f>
        <x:v>N/A</x:v>
      </x:c>
      <x:c r="L4" s="23" t="str">
        <x:f>"Posted"</x:f>
        <x:v>Posted</x:v>
      </x:c>
      <x:c r="M4" s="23" t="str">
        <x:f>'Transaction Mapping'!T3</x:f>
        <x:v>Operating - Receipts</x:v>
      </x:c>
      <x:c r="N4" s="24" t="str">
        <x:f>'Transaction Mapping'!V3</x:f>
        <x:v>FS-000022</x:v>
      </x:c>
    </x:row>
    <x:row r="5">
      <x:c r="A5" s="22" t="str">
        <x:f>"JE-002"</x:f>
        <x:v>JE-002</x:v>
      </x:c>
      <x:c r="B5" s="34" t="n">
        <x:f>'Transaction Mapping'!C4</x:f>
        <x:v>45840</x:v>
      </x:c>
      <x:c r="C5" s="23" t="str">
        <x:f>"Bank Statement"</x:f>
        <x:v>Bank Statement</x:v>
      </x:c>
      <x:c r="D5" s="23" t="str">
        <x:f>'Transaction Mapping'!E4</x:f>
        <x:v>B01-002</x:v>
      </x:c>
      <x:c r="E5" s="23" t="str">
        <x:f>'Transaction Mapping'!D4</x:f>
        <x:v>Vendor payout — carrier settlement</x:v>
      </x:c>
      <x:c r="F5" s="23" t="str">
        <x:f>'Transaction Mapping'!K4</x:f>
        <x:v>1029</x:v>
      </x:c>
      <x:c r="G5" s="23" t="str">
        <x:f>'Transaction Mapping'!L4</x:f>
        <x:v>PK55HABB0022827200508103</x:v>
      </x:c>
      <x:c r="H5" s="30" t="n">
        <x:f>'Transaction Mapping'!G4</x:f>
        <x:v>0</x:v>
      </x:c>
      <x:c r="I5" s="30" t="n">
        <x:f>'Transaction Mapping'!F4</x:f>
        <x:v>450000</x:v>
      </x:c>
      <x:c r="J5" s="23" t="str">
        <x:f>'Transaction Mapping'!P4</x:f>
        <x:v>TRUCK IT IN PVT LTD</x:v>
      </x:c>
      <x:c r="K5" s="23" t="str">
        <x:f>"N/A"</x:f>
        <x:v>N/A</x:v>
      </x:c>
      <x:c r="L5" s="23" t="str">
        <x:f>"Posted"</x:f>
        <x:v>Posted</x:v>
      </x:c>
      <x:c r="M5" s="23" t="str">
        <x:f>'Transaction Mapping'!T4</x:f>
        <x:v>Operating - Payments</x:v>
      </x:c>
      <x:c r="N5" s="24" t="str">
        <x:f>'Transaction Mapping'!V4</x:f>
        <x:v>FS-000003</x:v>
      </x:c>
    </x:row>
    <x:row r="6">
      <x:c r="A6" s="22" t="str">
        <x:f>"JE-002"</x:f>
        <x:v>JE-002</x:v>
      </x:c>
      <x:c r="B6" s="34" t="n">
        <x:f>'Transaction Mapping'!C4</x:f>
        <x:v>45840</x:v>
      </x:c>
      <x:c r="C6" s="23" t="str">
        <x:f>"Bank Statement"</x:f>
        <x:v>Bank Statement</x:v>
      </x:c>
      <x:c r="D6" s="23" t="str">
        <x:f>'Transaction Mapping'!E4</x:f>
        <x:v>B01-002</x:v>
      </x:c>
      <x:c r="E6" s="23" t="str">
        <x:f>'Transaction Mapping'!D4</x:f>
        <x:v>Vendor payout — carrier settlement</x:v>
      </x:c>
      <x:c r="F6" s="23" t="str">
        <x:f>'Transaction Mapping'!M4</x:f>
        <x:v>1054</x:v>
      </x:c>
      <x:c r="G6" s="23" t="str">
        <x:f>'Transaction Mapping'!N4</x:f>
        <x:v>Trucker's Commission</x:v>
      </x:c>
      <x:c r="H6" s="30" t="n">
        <x:f>'Transaction Mapping'!F4</x:f>
        <x:v>450000</x:v>
      </x:c>
      <x:c r="I6" s="30" t="n">
        <x:f>'Transaction Mapping'!G4</x:f>
        <x:v>0</x:v>
      </x:c>
      <x:c r="J6" s="23" t="str">
        <x:f>'Transaction Mapping'!P4</x:f>
        <x:v>TRUCK IT IN PVT LTD</x:v>
      </x:c>
      <x:c r="K6" s="23" t="str">
        <x:f>"N/A"</x:f>
        <x:v>N/A</x:v>
      </x:c>
      <x:c r="L6" s="23" t="str">
        <x:f>"Posted"</x:f>
        <x:v>Posted</x:v>
      </x:c>
      <x:c r="M6" s="23" t="str">
        <x:f>'Transaction Mapping'!T4</x:f>
        <x:v>Operating - Payments</x:v>
      </x:c>
      <x:c r="N6" s="24" t="str">
        <x:f>'Transaction Mapping'!V4</x:f>
        <x:v>FS-000003</x:v>
      </x:c>
    </x:row>
    <x:row r="7">
      <x:c r="A7" s="22" t="str">
        <x:f>"JE-003"</x:f>
        <x:v>JE-003</x:v>
      </x:c>
      <x:c r="B7" s="34" t="n">
        <x:f>'Transaction Mapping'!C5</x:f>
        <x:v>45841</x:v>
      </x:c>
      <x:c r="C7" s="23" t="str">
        <x:f>"Bank Statement"</x:f>
        <x:v>Bank Statement</x:v>
      </x:c>
      <x:c r="D7" s="23" t="str">
        <x:f>'Transaction Mapping'!E5</x:f>
        <x:v>B01-003</x:v>
      </x:c>
      <x:c r="E7" s="23" t="str">
        <x:f>'Transaction Mapping'!D5</x:f>
        <x:v>Cloud hosting and software payment</x:v>
      </x:c>
      <x:c r="F7" s="23" t="str">
        <x:f>'Transaction Mapping'!K5</x:f>
        <x:v>1029</x:v>
      </x:c>
      <x:c r="G7" s="23" t="str">
        <x:f>'Transaction Mapping'!L5</x:f>
        <x:v>PK55HABB0022827200508103</x:v>
      </x:c>
      <x:c r="H7" s="30" t="n">
        <x:f>'Transaction Mapping'!G5</x:f>
        <x:v>0</x:v>
      </x:c>
      <x:c r="I7" s="30" t="n">
        <x:f>'Transaction Mapping'!F5</x:f>
        <x:v>75000</x:v>
      </x:c>
      <x:c r="J7" s="23" t="str">
        <x:f>'Transaction Mapping'!P5</x:f>
        <x:v>TRUCK IT IN PVT LTD</x:v>
      </x:c>
      <x:c r="K7" s="23" t="str">
        <x:f>"N/A"</x:f>
        <x:v>N/A</x:v>
      </x:c>
      <x:c r="L7" s="23" t="str">
        <x:f>"Posted"</x:f>
        <x:v>Posted</x:v>
      </x:c>
      <x:c r="M7" s="23" t="str">
        <x:f>'Transaction Mapping'!T5</x:f>
        <x:v>Operating - Payments</x:v>
      </x:c>
      <x:c r="N7" s="24" t="str">
        <x:f>'Transaction Mapping'!V5</x:f>
        <x:v>FS-000021</x:v>
      </x:c>
    </x:row>
    <x:row r="8">
      <x:c r="A8" s="22" t="str">
        <x:f>"JE-003"</x:f>
        <x:v>JE-003</x:v>
      </x:c>
      <x:c r="B8" s="34" t="n">
        <x:f>'Transaction Mapping'!C5</x:f>
        <x:v>45841</x:v>
      </x:c>
      <x:c r="C8" s="23" t="str">
        <x:f>"Bank Statement"</x:f>
        <x:v>Bank Statement</x:v>
      </x:c>
      <x:c r="D8" s="23" t="str">
        <x:f>'Transaction Mapping'!E5</x:f>
        <x:v>B01-003</x:v>
      </x:c>
      <x:c r="E8" s="23" t="str">
        <x:f>'Transaction Mapping'!D5</x:f>
        <x:v>Cloud hosting and software payment</x:v>
      </x:c>
      <x:c r="F8" s="23" t="str">
        <x:f>'Transaction Mapping'!M5</x:f>
        <x:v>1068</x:v>
      </x:c>
      <x:c r="G8" s="23" t="str">
        <x:f>'Transaction Mapping'!N5</x:f>
        <x:v>Other Expenses</x:v>
      </x:c>
      <x:c r="H8" s="30" t="n">
        <x:f>'Transaction Mapping'!F5</x:f>
        <x:v>75000</x:v>
      </x:c>
      <x:c r="I8" s="30" t="n">
        <x:f>'Transaction Mapping'!G5</x:f>
        <x:v>0</x:v>
      </x:c>
      <x:c r="J8" s="23" t="str">
        <x:f>'Transaction Mapping'!P5</x:f>
        <x:v>TRUCK IT IN PVT LTD</x:v>
      </x:c>
      <x:c r="K8" s="23" t="str">
        <x:f>"N/A"</x:f>
        <x:v>N/A</x:v>
      </x:c>
      <x:c r="L8" s="23" t="str">
        <x:f>"Posted"</x:f>
        <x:v>Posted</x:v>
      </x:c>
      <x:c r="M8" s="23" t="str">
        <x:f>'Transaction Mapping'!T5</x:f>
        <x:v>Operating - Payments</x:v>
      </x:c>
      <x:c r="N8" s="24" t="str">
        <x:f>'Transaction Mapping'!V5</x:f>
        <x:v>FS-000021</x:v>
      </x:c>
    </x:row>
    <x:row r="9">
      <x:c r="A9" s="22" t="str">
        <x:f>"JE-004"</x:f>
        <x:v>JE-004</x:v>
      </x:c>
      <x:c r="B9" s="34" t="n">
        <x:f>'Transaction Mapping'!C6</x:f>
        <x:v>45842</x:v>
      </x:c>
      <x:c r="C9" s="23" t="str">
        <x:f>"Bank Statement"</x:f>
        <x:v>Bank Statement</x:v>
      </x:c>
      <x:c r="D9" s="23" t="str">
        <x:f>'Transaction Mapping'!E6</x:f>
        <x:v>TRF-01-02</x:v>
      </x:c>
      <x:c r="E9" s="23" t="str">
        <x:f>'Transaction Mapping'!D6</x:f>
        <x:v>Transfer to Meezan Payroll</x:v>
      </x:c>
      <x:c r="F9" s="23" t="str">
        <x:f>'Transaction Mapping'!K6</x:f>
        <x:v>1029</x:v>
      </x:c>
      <x:c r="G9" s="23" t="str">
        <x:f>'Transaction Mapping'!L6</x:f>
        <x:v>PK55HABB0022827200508103</x:v>
      </x:c>
      <x:c r="H9" s="30" t="n">
        <x:f>'Transaction Mapping'!G6</x:f>
        <x:v>0</x:v>
      </x:c>
      <x:c r="I9" s="30" t="n">
        <x:f>'Transaction Mapping'!F6</x:f>
        <x:v>200000</x:v>
      </x:c>
      <x:c r="J9" s="23" t="str">
        <x:f>'Transaction Mapping'!P6</x:f>
        <x:v>TRUCK IT IN PVT LTD</x:v>
      </x:c>
      <x:c r="K9" s="23" t="str">
        <x:f>"N/A"</x:f>
        <x:v>N/A</x:v>
      </x:c>
      <x:c r="L9" s="23" t="str">
        <x:f>"Posted"</x:f>
        <x:v>Posted</x:v>
      </x:c>
      <x:c r="M9" s="23" t="str">
        <x:f>'Transaction Mapping'!T6</x:f>
        <x:v>Transfer</x:v>
      </x:c>
      <x:c r="N9" s="24" t="str">
        <x:f>'Transaction Mapping'!V6</x:f>
        <x:v>FS-000020</x:v>
      </x:c>
    </x:row>
    <x:row r="10">
      <x:c r="A10" s="22" t="str">
        <x:f>"JE-004"</x:f>
        <x:v>JE-004</x:v>
      </x:c>
      <x:c r="B10" s="34" t="n">
        <x:f>'Transaction Mapping'!C6</x:f>
        <x:v>45842</x:v>
      </x:c>
      <x:c r="C10" s="23" t="str">
        <x:f>"Bank Statement"</x:f>
        <x:v>Bank Statement</x:v>
      </x:c>
      <x:c r="D10" s="23" t="str">
        <x:f>'Transaction Mapping'!E6</x:f>
        <x:v>TRF-01-02</x:v>
      </x:c>
      <x:c r="E10" s="23" t="str">
        <x:f>'Transaction Mapping'!D6</x:f>
        <x:v>Transfer to Meezan Payroll</x:v>
      </x:c>
      <x:c r="F10" s="23" t="str">
        <x:f>'Transaction Mapping'!M6</x:f>
        <x:v>1030</x:v>
      </x:c>
      <x:c r="G10" s="23" t="str">
        <x:f>'Transaction Mapping'!N6</x:f>
        <x:v>PK24MEZN0001110107095251</x:v>
      </x:c>
      <x:c r="H10" s="30" t="n">
        <x:f>'Transaction Mapping'!F6</x:f>
        <x:v>200000</x:v>
      </x:c>
      <x:c r="I10" s="30" t="n">
        <x:f>'Transaction Mapping'!G6</x:f>
        <x:v>0</x:v>
      </x:c>
      <x:c r="J10" s="23" t="str">
        <x:f>'Transaction Mapping'!P6</x:f>
        <x:v>TRUCK IT IN PVT LTD</x:v>
      </x:c>
      <x:c r="K10" s="23" t="str">
        <x:f>"N/A"</x:f>
        <x:v>N/A</x:v>
      </x:c>
      <x:c r="L10" s="23" t="str">
        <x:f>"Posted"</x:f>
        <x:v>Posted</x:v>
      </x:c>
      <x:c r="M10" s="23" t="str">
        <x:f>'Transaction Mapping'!T6</x:f>
        <x:v>Transfer</x:v>
      </x:c>
      <x:c r="N10" s="24" t="str">
        <x:f>'Transaction Mapping'!V6</x:f>
        <x:v>FS-000020</x:v>
      </x:c>
    </x:row>
    <x:row r="11">
      <x:c r="A11" s="22" t="str">
        <x:f>"JE-005"</x:f>
        <x:v>JE-005</x:v>
      </x:c>
      <x:c r="B11" s="34" t="n">
        <x:f>'Transaction Mapping'!C7</x:f>
        <x:v>45840</x:v>
      </x:c>
      <x:c r="C11" s="23" t="str">
        <x:f>"Bank Statement"</x:f>
        <x:v>Bank Statement</x:v>
      </x:c>
      <x:c r="D11" s="23" t="str">
        <x:f>'Transaction Mapping'!E7</x:f>
        <x:v>TRF-01-02</x:v>
      </x:c>
      <x:c r="E11" s="23" t="str">
        <x:f>'Transaction Mapping'!D7</x:f>
        <x:v>Transfer received from HBL Main</x:v>
      </x:c>
      <x:c r="F11" s="23" t="str">
        <x:f>'Transaction Mapping'!K7</x:f>
        <x:v>1030</x:v>
      </x:c>
      <x:c r="G11" s="23" t="str">
        <x:f>'Transaction Mapping'!L7</x:f>
        <x:v>PK24MEZN0001110107095251</x:v>
      </x:c>
      <x:c r="H11" s="30" t="n">
        <x:f>'Transaction Mapping'!G7</x:f>
        <x:v>200000</x:v>
      </x:c>
      <x:c r="I11" s="30" t="n">
        <x:f>'Transaction Mapping'!F7</x:f>
        <x:v>0</x:v>
      </x:c>
      <x:c r="J11" s="23" t="str">
        <x:f>'Transaction Mapping'!P7</x:f>
        <x:v>TRUCK IT IN PVT LTD</x:v>
      </x:c>
      <x:c r="K11" s="23" t="str">
        <x:f>"N/A"</x:f>
        <x:v>N/A</x:v>
      </x:c>
      <x:c r="L11" s="23" t="str">
        <x:f>"Posted"</x:f>
        <x:v>Posted</x:v>
      </x:c>
      <x:c r="M11" s="23" t="str">
        <x:f>'Transaction Mapping'!T7</x:f>
        <x:v>Transfer</x:v>
      </x:c>
      <x:c r="N11" s="24" t="str">
        <x:f>'Transaction Mapping'!V7</x:f>
        <x:v>FS-000020</x:v>
      </x:c>
    </x:row>
    <x:row r="12">
      <x:c r="A12" s="22" t="str">
        <x:f>"JE-005"</x:f>
        <x:v>JE-005</x:v>
      </x:c>
      <x:c r="B12" s="34" t="n">
        <x:f>'Transaction Mapping'!C7</x:f>
        <x:v>45840</x:v>
      </x:c>
      <x:c r="C12" s="23" t="str">
        <x:f>"Bank Statement"</x:f>
        <x:v>Bank Statement</x:v>
      </x:c>
      <x:c r="D12" s="23" t="str">
        <x:f>'Transaction Mapping'!E7</x:f>
        <x:v>TRF-01-02</x:v>
      </x:c>
      <x:c r="E12" s="23" t="str">
        <x:f>'Transaction Mapping'!D7</x:f>
        <x:v>Transfer received from HBL Main</x:v>
      </x:c>
      <x:c r="F12" s="23" t="str">
        <x:f>'Transaction Mapping'!M7</x:f>
        <x:v>1029</x:v>
      </x:c>
      <x:c r="G12" s="23" t="str">
        <x:f>'Transaction Mapping'!N7</x:f>
        <x:v>PK55HABB0022827200508103</x:v>
      </x:c>
      <x:c r="H12" s="30" t="n">
        <x:f>'Transaction Mapping'!F7</x:f>
        <x:v>0</x:v>
      </x:c>
      <x:c r="I12" s="30" t="n">
        <x:f>'Transaction Mapping'!G7</x:f>
        <x:v>200000</x:v>
      </x:c>
      <x:c r="J12" s="23" t="str">
        <x:f>'Transaction Mapping'!P7</x:f>
        <x:v>TRUCK IT IN PVT LTD</x:v>
      </x:c>
      <x:c r="K12" s="23" t="str">
        <x:f>"N/A"</x:f>
        <x:v>N/A</x:v>
      </x:c>
      <x:c r="L12" s="23" t="str">
        <x:f>"Posted"</x:f>
        <x:v>Posted</x:v>
      </x:c>
      <x:c r="M12" s="23" t="str">
        <x:f>'Transaction Mapping'!T7</x:f>
        <x:v>Transfer</x:v>
      </x:c>
      <x:c r="N12" s="24" t="str">
        <x:f>'Transaction Mapping'!V7</x:f>
        <x:v>FS-000020</x:v>
      </x:c>
    </x:row>
    <x:row r="13">
      <x:c r="A13" s="22" t="str">
        <x:f>"JE-006"</x:f>
        <x:v>JE-006</x:v>
      </x:c>
      <x:c r="B13" s="34" t="n">
        <x:f>'Transaction Mapping'!C8</x:f>
        <x:v>45841</x:v>
      </x:c>
      <x:c r="C13" s="23" t="str">
        <x:f>"Bank Statement"</x:f>
        <x:v>Bank Statement</x:v>
      </x:c>
      <x:c r="D13" s="23" t="str">
        <x:f>'Transaction Mapping'!E8</x:f>
        <x:v>B02-002</x:v>
      </x:c>
      <x:c r="E13" s="23" t="str">
        <x:f>'Transaction Mapping'!D8</x:f>
        <x:v>Payroll disbursement — July</x:v>
      </x:c>
      <x:c r="F13" s="23" t="str">
        <x:f>'Transaction Mapping'!K8</x:f>
        <x:v>1030</x:v>
      </x:c>
      <x:c r="G13" s="23" t="str">
        <x:f>'Transaction Mapping'!L8</x:f>
        <x:v>PK24MEZN0001110107095251</x:v>
      </x:c>
      <x:c r="H13" s="30" t="n">
        <x:f>'Transaction Mapping'!G8</x:f>
        <x:v>0</x:v>
      </x:c>
      <x:c r="I13" s="30" t="n">
        <x:f>'Transaction Mapping'!F8</x:f>
        <x:v>160000</x:v>
      </x:c>
      <x:c r="J13" s="23" t="str">
        <x:f>'Transaction Mapping'!P8</x:f>
        <x:v>TRUCK IT IN PVT LTD</x:v>
      </x:c>
      <x:c r="K13" s="23" t="str">
        <x:f>"N/A"</x:f>
        <x:v>N/A</x:v>
      </x:c>
      <x:c r="L13" s="23" t="str">
        <x:f>"Posted"</x:f>
        <x:v>Posted</x:v>
      </x:c>
      <x:c r="M13" s="23" t="str">
        <x:f>'Transaction Mapping'!T8</x:f>
        <x:v>Operating - Payments</x:v>
      </x:c>
      <x:c r="N13" s="24" t="str">
        <x:f>'Transaction Mapping'!V8</x:f>
        <x:v>FS-000010</x:v>
      </x:c>
    </x:row>
    <x:row r="14">
      <x:c r="A14" s="22" t="str">
        <x:f>"JE-006"</x:f>
        <x:v>JE-006</x:v>
      </x:c>
      <x:c r="B14" s="34" t="n">
        <x:f>'Transaction Mapping'!C8</x:f>
        <x:v>45841</x:v>
      </x:c>
      <x:c r="C14" s="23" t="str">
        <x:f>"Bank Statement"</x:f>
        <x:v>Bank Statement</x:v>
      </x:c>
      <x:c r="D14" s="23" t="str">
        <x:f>'Transaction Mapping'!E8</x:f>
        <x:v>B02-002</x:v>
      </x:c>
      <x:c r="E14" s="23" t="str">
        <x:f>'Transaction Mapping'!D8</x:f>
        <x:v>Payroll disbursement — July</x:v>
      </x:c>
      <x:c r="F14" s="23" t="str">
        <x:f>'Transaction Mapping'!M8</x:f>
        <x:v>1056</x:v>
      </x:c>
      <x:c r="G14" s="23" t="str">
        <x:f>'Transaction Mapping'!N8</x:f>
        <x:v>SALARIES &amp; WAGES</x:v>
      </x:c>
      <x:c r="H14" s="30" t="n">
        <x:f>'Transaction Mapping'!F8</x:f>
        <x:v>160000</x:v>
      </x:c>
      <x:c r="I14" s="30" t="n">
        <x:f>'Transaction Mapping'!G8</x:f>
        <x:v>0</x:v>
      </x:c>
      <x:c r="J14" s="23" t="str">
        <x:f>'Transaction Mapping'!P8</x:f>
        <x:v>TRUCK IT IN PVT LTD</x:v>
      </x:c>
      <x:c r="K14" s="23" t="str">
        <x:f>"N/A"</x:f>
        <x:v>N/A</x:v>
      </x:c>
      <x:c r="L14" s="23" t="str">
        <x:f>"Posted"</x:f>
        <x:v>Posted</x:v>
      </x:c>
      <x:c r="M14" s="23" t="str">
        <x:f>'Transaction Mapping'!T8</x:f>
        <x:v>Operating - Payments</x:v>
      </x:c>
      <x:c r="N14" s="24" t="str">
        <x:f>'Transaction Mapping'!V8</x:f>
        <x:v>FS-000010</x:v>
      </x:c>
    </x:row>
    <x:row r="15">
      <x:c r="A15" s="22" t="str">
        <x:f>"JE-007"</x:f>
        <x:v>JE-007</x:v>
      </x:c>
      <x:c r="B15" s="34" t="n">
        <x:f>'Transaction Mapping'!C9</x:f>
        <x:v>45842</x:v>
      </x:c>
      <x:c r="C15" s="23" t="str">
        <x:f>"Bank Statement"</x:f>
        <x:v>Bank Statement</x:v>
      </x:c>
      <x:c r="D15" s="23" t="str">
        <x:f>'Transaction Mapping'!E9</x:f>
        <x:v>B02-003</x:v>
      </x:c>
      <x:c r="E15" s="23" t="str">
        <x:f>'Transaction Mapping'!D9</x:f>
        <x:v>Payroll withholding tax payment</x:v>
      </x:c>
      <x:c r="F15" s="23" t="str">
        <x:f>'Transaction Mapping'!K9</x:f>
        <x:v>1030</x:v>
      </x:c>
      <x:c r="G15" s="23" t="str">
        <x:f>'Transaction Mapping'!L9</x:f>
        <x:v>PK24MEZN0001110107095251</x:v>
      </x:c>
      <x:c r="H15" s="30" t="n">
        <x:f>'Transaction Mapping'!G9</x:f>
        <x:v>0</x:v>
      </x:c>
      <x:c r="I15" s="30" t="n">
        <x:f>'Transaction Mapping'!F9</x:f>
        <x:v>25000</x:v>
      </x:c>
      <x:c r="J15" s="23" t="str">
        <x:f>'Transaction Mapping'!P9</x:f>
        <x:v>TRUCK IT IN PVT LTD</x:v>
      </x:c>
      <x:c r="K15" s="23" t="str">
        <x:f>"N/A"</x:f>
        <x:v>N/A</x:v>
      </x:c>
      <x:c r="L15" s="23" t="str">
        <x:f>"Posted"</x:f>
        <x:v>Posted</x:v>
      </x:c>
      <x:c r="M15" s="23" t="str">
        <x:f>'Transaction Mapping'!T9</x:f>
        <x:v>Operating - Payments</x:v>
      </x:c>
      <x:c r="N15" s="24" t="str">
        <x:f>'Transaction Mapping'!V9</x:f>
        <x:v>FS-000019</x:v>
      </x:c>
    </x:row>
    <x:row r="16">
      <x:c r="A16" s="22" t="str">
        <x:f>"JE-007"</x:f>
        <x:v>JE-007</x:v>
      </x:c>
      <x:c r="B16" s="34" t="n">
        <x:f>'Transaction Mapping'!C9</x:f>
        <x:v>45842</x:v>
      </x:c>
      <x:c r="C16" s="23" t="str">
        <x:f>"Bank Statement"</x:f>
        <x:v>Bank Statement</x:v>
      </x:c>
      <x:c r="D16" s="23" t="str">
        <x:f>'Transaction Mapping'!E9</x:f>
        <x:v>B02-003</x:v>
      </x:c>
      <x:c r="E16" s="23" t="str">
        <x:f>'Transaction Mapping'!D9</x:f>
        <x:v>Payroll withholding tax payment</x:v>
      </x:c>
      <x:c r="F16" s="23" t="str">
        <x:f>'Transaction Mapping'!M9</x:f>
        <x:v>1034</x:v>
      </x:c>
      <x:c r="G16" s="23" t="str">
        <x:f>'Transaction Mapping'!N9</x:f>
        <x:v>Accrued payroll</x:v>
      </x:c>
      <x:c r="H16" s="30" t="n">
        <x:f>'Transaction Mapping'!F9</x:f>
        <x:v>25000</x:v>
      </x:c>
      <x:c r="I16" s="30" t="n">
        <x:f>'Transaction Mapping'!G9</x:f>
        <x:v>0</x:v>
      </x:c>
      <x:c r="J16" s="23" t="str">
        <x:f>'Transaction Mapping'!P9</x:f>
        <x:v>TRUCK IT IN PVT LTD</x:v>
      </x:c>
      <x:c r="K16" s="23" t="str">
        <x:f>"N/A"</x:f>
        <x:v>N/A</x:v>
      </x:c>
      <x:c r="L16" s="23" t="str">
        <x:f>"Posted"</x:f>
        <x:v>Posted</x:v>
      </x:c>
      <x:c r="M16" s="23" t="str">
        <x:f>'Transaction Mapping'!T9</x:f>
        <x:v>Operating - Payments</x:v>
      </x:c>
      <x:c r="N16" s="24" t="str">
        <x:f>'Transaction Mapping'!V9</x:f>
        <x:v>FS-000019</x:v>
      </x:c>
    </x:row>
    <x:row r="17">
      <x:c r="A17" s="22" t="str">
        <x:f>"JE-008"</x:f>
        <x:v>JE-008</x:v>
      </x:c>
      <x:c r="B17" s="34" t="n">
        <x:f>'Transaction Mapping'!C10</x:f>
        <x:v>45843</x:v>
      </x:c>
      <x:c r="C17" s="23" t="str">
        <x:f>"Bank Statement"</x:f>
        <x:v>Bank Statement</x:v>
      </x:c>
      <x:c r="D17" s="23" t="str">
        <x:f>'Transaction Mapping'!E10</x:f>
        <x:v>B02-004</x:v>
      </x:c>
      <x:c r="E17" s="23" t="str">
        <x:f>'Transaction Mapping'!D10</x:f>
        <x:v>Vendor withholding tax payment</x:v>
      </x:c>
      <x:c r="F17" s="23" t="str">
        <x:f>'Transaction Mapping'!K10</x:f>
        <x:v>1030</x:v>
      </x:c>
      <x:c r="G17" s="23" t="str">
        <x:f>'Transaction Mapping'!L10</x:f>
        <x:v>PK24MEZN0001110107095251</x:v>
      </x:c>
      <x:c r="H17" s="30" t="n">
        <x:f>'Transaction Mapping'!G10</x:f>
        <x:v>0</x:v>
      </x:c>
      <x:c r="I17" s="30" t="n">
        <x:f>'Transaction Mapping'!F10</x:f>
        <x:v>10000</x:v>
      </x:c>
      <x:c r="J17" s="23" t="str">
        <x:f>'Transaction Mapping'!P10</x:f>
        <x:v>TRUCK IT IN PVT LTD</x:v>
      </x:c>
      <x:c r="K17" s="23" t="str">
        <x:f>"N/A"</x:f>
        <x:v>N/A</x:v>
      </x:c>
      <x:c r="L17" s="23" t="str">
        <x:f>"Posted"</x:f>
        <x:v>Posted</x:v>
      </x:c>
      <x:c r="M17" s="23" t="str">
        <x:f>'Transaction Mapping'!T10</x:f>
        <x:v>Operating - Payments</x:v>
      </x:c>
      <x:c r="N17" s="24" t="str">
        <x:f>'Transaction Mapping'!V10</x:f>
        <x:v>FS-000023</x:v>
      </x:c>
    </x:row>
    <x:row r="18">
      <x:c r="A18" s="22" t="str">
        <x:f>"JE-008"</x:f>
        <x:v>JE-008</x:v>
      </x:c>
      <x:c r="B18" s="34" t="n">
        <x:f>'Transaction Mapping'!C10</x:f>
        <x:v>45843</x:v>
      </x:c>
      <x:c r="C18" s="23" t="str">
        <x:f>"Bank Statement"</x:f>
        <x:v>Bank Statement</x:v>
      </x:c>
      <x:c r="D18" s="23" t="str">
        <x:f>'Transaction Mapping'!E10</x:f>
        <x:v>B02-004</x:v>
      </x:c>
      <x:c r="E18" s="23" t="str">
        <x:f>'Transaction Mapping'!D10</x:f>
        <x:v>Vendor withholding tax payment</x:v>
      </x:c>
      <x:c r="F18" s="23" t="str">
        <x:f>'Transaction Mapping'!M10</x:f>
        <x:v>1036</x:v>
      </x:c>
      <x:c r="G18" s="23" t="str">
        <x:f>'Transaction Mapping'!N10</x:f>
        <x:v>Withholding tax payable:Withholding tax - Vendors</x:v>
      </x:c>
      <x:c r="H18" s="30" t="n">
        <x:f>'Transaction Mapping'!F10</x:f>
        <x:v>10000</x:v>
      </x:c>
      <x:c r="I18" s="30" t="n">
        <x:f>'Transaction Mapping'!G10</x:f>
        <x:v>0</x:v>
      </x:c>
      <x:c r="J18" s="23" t="str">
        <x:f>'Transaction Mapping'!P10</x:f>
        <x:v>TRUCK IT IN PVT LTD</x:v>
      </x:c>
      <x:c r="K18" s="23" t="str">
        <x:f>"N/A"</x:f>
        <x:v>N/A</x:v>
      </x:c>
      <x:c r="L18" s="23" t="str">
        <x:f>"Posted"</x:f>
        <x:v>Posted</x:v>
      </x:c>
      <x:c r="M18" s="23" t="str">
        <x:f>'Transaction Mapping'!T10</x:f>
        <x:v>Operating - Payments</x:v>
      </x:c>
      <x:c r="N18" s="24" t="str">
        <x:f>'Transaction Mapping'!V10</x:f>
        <x:v>FS-000023</x:v>
      </x:c>
    </x:row>
    <x:row r="19">
      <x:c r="A19" s="22" t="str">
        <x:f>"JE-009"</x:f>
        <x:v>JE-009</x:v>
      </x:c>
      <x:c r="B19" s="34" t="n">
        <x:f>'Transaction Mapping'!C11</x:f>
        <x:v>45841</x:v>
      </x:c>
      <x:c r="C19" s="23" t="str">
        <x:f>"Bank Statement"</x:f>
        <x:v>Bank Statement</x:v>
      </x:c>
      <x:c r="D19" s="23" t="str">
        <x:f>'Transaction Mapping'!E11</x:f>
        <x:v>B03-001</x:v>
      </x:c>
      <x:c r="E19" s="23" t="str">
        <x:f>'Transaction Mapping'!D11</x:f>
        <x:v>Customer collection — digital channel</x:v>
      </x:c>
      <x:c r="F19" s="23" t="str">
        <x:f>'Transaction Mapping'!K11</x:f>
        <x:v>1028</x:v>
      </x:c>
      <x:c r="G19" s="23" t="str">
        <x:f>'Transaction Mapping'!L11</x:f>
        <x:v>PK49DUIB0000000627075001</x:v>
      </x:c>
      <x:c r="H19" s="30" t="n">
        <x:f>'Transaction Mapping'!G11</x:f>
        <x:v>600000</x:v>
      </x:c>
      <x:c r="I19" s="30" t="n">
        <x:f>'Transaction Mapping'!F11</x:f>
        <x:v>0</x:v>
      </x:c>
      <x:c r="J19" s="23" t="str">
        <x:f>'Transaction Mapping'!P11</x:f>
        <x:v>TRUCK IT IN PVT LTD</x:v>
      </x:c>
      <x:c r="K19" s="23" t="str">
        <x:f>"N/A"</x:f>
        <x:v>N/A</x:v>
      </x:c>
      <x:c r="L19" s="23" t="str">
        <x:f>"Posted"</x:f>
        <x:v>Posted</x:v>
      </x:c>
      <x:c r="M19" s="23" t="str">
        <x:f>'Transaction Mapping'!T11</x:f>
        <x:v>Operating - Receipts</x:v>
      </x:c>
      <x:c r="N19" s="24" t="str">
        <x:f>'Transaction Mapping'!V11</x:f>
        <x:v>FS-000022</x:v>
      </x:c>
    </x:row>
    <x:row r="20">
      <x:c r="A20" s="22" t="str">
        <x:f>"JE-009"</x:f>
        <x:v>JE-009</x:v>
      </x:c>
      <x:c r="B20" s="34" t="n">
        <x:f>'Transaction Mapping'!C11</x:f>
        <x:v>45841</x:v>
      </x:c>
      <x:c r="C20" s="23" t="str">
        <x:f>"Bank Statement"</x:f>
        <x:v>Bank Statement</x:v>
      </x:c>
      <x:c r="D20" s="23" t="str">
        <x:f>'Transaction Mapping'!E11</x:f>
        <x:v>B03-001</x:v>
      </x:c>
      <x:c r="E20" s="23" t="str">
        <x:f>'Transaction Mapping'!D11</x:f>
        <x:v>Customer collection — digital channel</x:v>
      </x:c>
      <x:c r="F20" s="23" t="str">
        <x:f>'Transaction Mapping'!M11</x:f>
        <x:v>1050</x:v>
      </x:c>
      <x:c r="G20" s="23" t="str">
        <x:f>'Transaction Mapping'!N11</x:f>
        <x:v>Sales revenue</x:v>
      </x:c>
      <x:c r="H20" s="30" t="n">
        <x:f>'Transaction Mapping'!F11</x:f>
        <x:v>0</x:v>
      </x:c>
      <x:c r="I20" s="30" t="n">
        <x:f>'Transaction Mapping'!G11</x:f>
        <x:v>600000</x:v>
      </x:c>
      <x:c r="J20" s="23" t="str">
        <x:f>'Transaction Mapping'!P11</x:f>
        <x:v>TRUCK IT IN PVT LTD</x:v>
      </x:c>
      <x:c r="K20" s="23" t="str">
        <x:f>"N/A"</x:f>
        <x:v>N/A</x:v>
      </x:c>
      <x:c r="L20" s="23" t="str">
        <x:f>"Posted"</x:f>
        <x:v>Posted</x:v>
      </x:c>
      <x:c r="M20" s="23" t="str">
        <x:f>'Transaction Mapping'!T11</x:f>
        <x:v>Operating - Receipts</x:v>
      </x:c>
      <x:c r="N20" s="24" t="str">
        <x:f>'Transaction Mapping'!V11</x:f>
        <x:v>FS-000022</x:v>
      </x:c>
    </x:row>
    <x:row r="21">
      <x:c r="A21" s="22" t="str">
        <x:f>"JE-010"</x:f>
        <x:v>JE-010</x:v>
      </x:c>
      <x:c r="B21" s="34" t="n">
        <x:f>'Transaction Mapping'!C12</x:f>
        <x:v>45842</x:v>
      </x:c>
      <x:c r="C21" s="23" t="str">
        <x:f>"Bank Statement"</x:f>
        <x:v>Bank Statement</x:v>
      </x:c>
      <x:c r="D21" s="23" t="str">
        <x:f>'Transaction Mapping'!E12</x:f>
        <x:v>B03-002</x:v>
      </x:c>
      <x:c r="E21" s="23" t="str">
        <x:f>'Transaction Mapping'!D12</x:f>
        <x:v>Commission paid to delivery partners</x:v>
      </x:c>
      <x:c r="F21" s="23" t="str">
        <x:f>'Transaction Mapping'!K12</x:f>
        <x:v>1028</x:v>
      </x:c>
      <x:c r="G21" s="23" t="str">
        <x:f>'Transaction Mapping'!L12</x:f>
        <x:v>PK49DUIB0000000627075001</x:v>
      </x:c>
      <x:c r="H21" s="30" t="n">
        <x:f>'Transaction Mapping'!G12</x:f>
        <x:v>0</x:v>
      </x:c>
      <x:c r="I21" s="30" t="n">
        <x:f>'Transaction Mapping'!F12</x:f>
        <x:v>190000</x:v>
      </x:c>
      <x:c r="J21" s="23" t="str">
        <x:f>'Transaction Mapping'!P12</x:f>
        <x:v>TRUCK IT IN PVT LTD</x:v>
      </x:c>
      <x:c r="K21" s="23" t="str">
        <x:f>"N/A"</x:f>
        <x:v>N/A</x:v>
      </x:c>
      <x:c r="L21" s="23" t="str">
        <x:f>"Posted"</x:f>
        <x:v>Posted</x:v>
      </x:c>
      <x:c r="M21" s="23" t="str">
        <x:f>'Transaction Mapping'!T12</x:f>
        <x:v>Operating - Payments</x:v>
      </x:c>
      <x:c r="N21" s="24" t="str">
        <x:f>'Transaction Mapping'!V12</x:f>
        <x:v>FS-000006</x:v>
      </x:c>
    </x:row>
    <x:row r="22">
      <x:c r="A22" s="22" t="str">
        <x:f>"JE-010"</x:f>
        <x:v>JE-010</x:v>
      </x:c>
      <x:c r="B22" s="34" t="n">
        <x:f>'Transaction Mapping'!C12</x:f>
        <x:v>45842</x:v>
      </x:c>
      <x:c r="C22" s="23" t="str">
        <x:f>"Bank Statement"</x:f>
        <x:v>Bank Statement</x:v>
      </x:c>
      <x:c r="D22" s="23" t="str">
        <x:f>'Transaction Mapping'!E12</x:f>
        <x:v>B03-002</x:v>
      </x:c>
      <x:c r="E22" s="23" t="str">
        <x:f>'Transaction Mapping'!D12</x:f>
        <x:v>Commission paid to delivery partners</x:v>
      </x:c>
      <x:c r="F22" s="23" t="str">
        <x:f>'Transaction Mapping'!M12</x:f>
        <x:v>1054</x:v>
      </x:c>
      <x:c r="G22" s="23" t="str">
        <x:f>'Transaction Mapping'!N12</x:f>
        <x:v>Trucker's Commission</x:v>
      </x:c>
      <x:c r="H22" s="30" t="n">
        <x:f>'Transaction Mapping'!F12</x:f>
        <x:v>190000</x:v>
      </x:c>
      <x:c r="I22" s="30" t="n">
        <x:f>'Transaction Mapping'!G12</x:f>
        <x:v>0</x:v>
      </x:c>
      <x:c r="J22" s="23" t="str">
        <x:f>'Transaction Mapping'!P12</x:f>
        <x:v>TRUCK IT IN PVT LTD</x:v>
      </x:c>
      <x:c r="K22" s="23" t="str">
        <x:f>"N/A"</x:f>
        <x:v>N/A</x:v>
      </x:c>
      <x:c r="L22" s="23" t="str">
        <x:f>"Posted"</x:f>
        <x:v>Posted</x:v>
      </x:c>
      <x:c r="M22" s="23" t="str">
        <x:f>'Transaction Mapping'!T12</x:f>
        <x:v>Operating - Payments</x:v>
      </x:c>
      <x:c r="N22" s="24" t="str">
        <x:f>'Transaction Mapping'!V12</x:f>
        <x:v>FS-000006</x:v>
      </x:c>
    </x:row>
    <x:row r="23">
      <x:c r="A23" s="22" t="str">
        <x:f>"JE-011"</x:f>
        <x:v>JE-011</x:v>
      </x:c>
      <x:c r="B23" s="34" t="n">
        <x:f>'Transaction Mapping'!C13</x:f>
        <x:v>45843</x:v>
      </x:c>
      <x:c r="C23" s="23" t="str">
        <x:f>"Bank Statement"</x:f>
        <x:v>Bank Statement</x:v>
      </x:c>
      <x:c r="D23" s="23" t="str">
        <x:f>'Transaction Mapping'!E13</x:f>
        <x:v>B03-003</x:v>
      </x:c>
      <x:c r="E23" s="23" t="str">
        <x:f>'Transaction Mapping'!D13</x:f>
        <x:v>Recovery received against prior advance</x:v>
      </x:c>
      <x:c r="F23" s="23" t="str">
        <x:f>'Transaction Mapping'!K13</x:f>
        <x:v>1028</x:v>
      </x:c>
      <x:c r="G23" s="23" t="str">
        <x:f>'Transaction Mapping'!L13</x:f>
        <x:v>PK49DUIB0000000627075001</x:v>
      </x:c>
      <x:c r="H23" s="30" t="n">
        <x:f>'Transaction Mapping'!G13</x:f>
        <x:v>80000</x:v>
      </x:c>
      <x:c r="I23" s="30" t="n">
        <x:f>'Transaction Mapping'!F13</x:f>
        <x:v>0</x:v>
      </x:c>
      <x:c r="J23" s="23" t="str">
        <x:f>'Transaction Mapping'!P13</x:f>
        <x:v>TRUCK IT IN PVT LTD</x:v>
      </x:c>
      <x:c r="K23" s="23" t="str">
        <x:f>"N/A"</x:f>
        <x:v>N/A</x:v>
      </x:c>
      <x:c r="L23" s="23" t="str">
        <x:f>"Posted"</x:f>
        <x:v>Posted</x:v>
      </x:c>
      <x:c r="M23" s="23" t="str">
        <x:f>'Transaction Mapping'!T13</x:f>
        <x:v>Operating - Receipts</x:v>
      </x:c>
      <x:c r="N23" s="24" t="str">
        <x:f>'Transaction Mapping'!V13</x:f>
        <x:v>FS-000002</x:v>
      </x:c>
    </x:row>
    <x:row r="24">
      <x:c r="A24" s="22" t="str">
        <x:f>"JE-011"</x:f>
        <x:v>JE-011</x:v>
      </x:c>
      <x:c r="B24" s="34" t="n">
        <x:f>'Transaction Mapping'!C13</x:f>
        <x:v>45843</x:v>
      </x:c>
      <x:c r="C24" s="23" t="str">
        <x:f>"Bank Statement"</x:f>
        <x:v>Bank Statement</x:v>
      </x:c>
      <x:c r="D24" s="23" t="str">
        <x:f>'Transaction Mapping'!E13</x:f>
        <x:v>B03-003</x:v>
      </x:c>
      <x:c r="E24" s="23" t="str">
        <x:f>'Transaction Mapping'!D13</x:f>
        <x:v>Recovery received against prior advance</x:v>
      </x:c>
      <x:c r="F24" s="23" t="str">
        <x:f>'Transaction Mapping'!M13</x:f>
        <x:v>1018</x:v>
      </x:c>
      <x:c r="G24" s="23" t="str">
        <x:f>'Transaction Mapping'!N13</x:f>
        <x:v>Trade Debtors</x:v>
      </x:c>
      <x:c r="H24" s="30" t="n">
        <x:f>'Transaction Mapping'!F13</x:f>
        <x:v>0</x:v>
      </x:c>
      <x:c r="I24" s="30" t="n">
        <x:f>'Transaction Mapping'!G13</x:f>
        <x:v>80000</x:v>
      </x:c>
      <x:c r="J24" s="23" t="str">
        <x:f>'Transaction Mapping'!P13</x:f>
        <x:v>TRUCK IT IN PVT LTD</x:v>
      </x:c>
      <x:c r="K24" s="23" t="str">
        <x:f>"N/A"</x:f>
        <x:v>N/A</x:v>
      </x:c>
      <x:c r="L24" s="23" t="str">
        <x:f>"Posted"</x:f>
        <x:v>Posted</x:v>
      </x:c>
      <x:c r="M24" s="23" t="str">
        <x:f>'Transaction Mapping'!T13</x:f>
        <x:v>Operating - Receipts</x:v>
      </x:c>
      <x:c r="N24" s="24" t="str">
        <x:f>'Transaction Mapping'!V13</x:f>
        <x:v>FS-000002</x:v>
      </x:c>
    </x:row>
    <x:row r="25">
      <x:c r="A25" s="22" t="str">
        <x:f>"JE-012"</x:f>
        <x:v>JE-012</x:v>
      </x:c>
      <x:c r="B25" s="34" t="n">
        <x:f>'Transaction Mapping'!C14</x:f>
        <x:v>45844</x:v>
      </x:c>
      <x:c r="C25" s="23" t="str">
        <x:f>"Bank Statement"</x:f>
        <x:v>Bank Statement</x:v>
      </x:c>
      <x:c r="D25" s="23" t="str">
        <x:f>'Transaction Mapping'!E14</x:f>
        <x:v>TRF-03-04</x:v>
      </x:c>
      <x:c r="E25" s="23" t="str">
        <x:f>'Transaction Mapping'!D14</x:f>
        <x:v>Transfer to MCB Reserve</x:v>
      </x:c>
      <x:c r="F25" s="23" t="str">
        <x:f>'Transaction Mapping'!K14</x:f>
        <x:v>1028</x:v>
      </x:c>
      <x:c r="G25" s="23" t="str">
        <x:f>'Transaction Mapping'!L14</x:f>
        <x:v>PK49DUIB0000000627075001</x:v>
      </x:c>
      <x:c r="H25" s="30" t="n">
        <x:f>'Transaction Mapping'!G14</x:f>
        <x:v>0</x:v>
      </x:c>
      <x:c r="I25" s="30" t="n">
        <x:f>'Transaction Mapping'!F14</x:f>
        <x:v>250000</x:v>
      </x:c>
      <x:c r="J25" s="23" t="str">
        <x:f>'Transaction Mapping'!P14</x:f>
        <x:v>TRUCK IT IN PVT LTD</x:v>
      </x:c>
      <x:c r="K25" s="23" t="str">
        <x:f>"N/A"</x:f>
        <x:v>N/A</x:v>
      </x:c>
      <x:c r="L25" s="23" t="str">
        <x:f>"Posted"</x:f>
        <x:v>Posted</x:v>
      </x:c>
      <x:c r="M25" s="23" t="str">
        <x:f>'Transaction Mapping'!T14</x:f>
        <x:v>Transfer</x:v>
      </x:c>
      <x:c r="N25" s="24" t="str">
        <x:f>'Transaction Mapping'!V14</x:f>
        <x:v>FS-000020</x:v>
      </x:c>
    </x:row>
    <x:row r="26">
      <x:c r="A26" s="22" t="str">
        <x:f>"JE-012"</x:f>
        <x:v>JE-012</x:v>
      </x:c>
      <x:c r="B26" s="34" t="n">
        <x:f>'Transaction Mapping'!C14</x:f>
        <x:v>45844</x:v>
      </x:c>
      <x:c r="C26" s="23" t="str">
        <x:f>"Bank Statement"</x:f>
        <x:v>Bank Statement</x:v>
      </x:c>
      <x:c r="D26" s="23" t="str">
        <x:f>'Transaction Mapping'!E14</x:f>
        <x:v>TRF-03-04</x:v>
      </x:c>
      <x:c r="E26" s="23" t="str">
        <x:f>'Transaction Mapping'!D14</x:f>
        <x:v>Transfer to MCB Reserve</x:v>
      </x:c>
      <x:c r="F26" s="23" t="str">
        <x:f>'Transaction Mapping'!M14</x:f>
        <x:v>1031</x:v>
      </x:c>
      <x:c r="G26" s="23" t="str">
        <x:f>'Transaction Mapping'!N14</x:f>
        <x:v>PK75MPBL0124067140164610</x:v>
      </x:c>
      <x:c r="H26" s="30" t="n">
        <x:f>'Transaction Mapping'!F14</x:f>
        <x:v>250000</x:v>
      </x:c>
      <x:c r="I26" s="30" t="n">
        <x:f>'Transaction Mapping'!G14</x:f>
        <x:v>0</x:v>
      </x:c>
      <x:c r="J26" s="23" t="str">
        <x:f>'Transaction Mapping'!P14</x:f>
        <x:v>TRUCK IT IN PVT LTD</x:v>
      </x:c>
      <x:c r="K26" s="23" t="str">
        <x:f>"N/A"</x:f>
        <x:v>N/A</x:v>
      </x:c>
      <x:c r="L26" s="23" t="str">
        <x:f>"Posted"</x:f>
        <x:v>Posted</x:v>
      </x:c>
      <x:c r="M26" s="23" t="str">
        <x:f>'Transaction Mapping'!T14</x:f>
        <x:v>Transfer</x:v>
      </x:c>
      <x:c r="N26" s="24" t="str">
        <x:f>'Transaction Mapping'!V14</x:f>
        <x:v>FS-000020</x:v>
      </x:c>
    </x:row>
    <x:row r="27">
      <x:c r="A27" s="22" t="str">
        <x:f>"JE-013"</x:f>
        <x:v>JE-013</x:v>
      </x:c>
      <x:c r="B27" s="34" t="n">
        <x:f>'Transaction Mapping'!C15</x:f>
        <x:v>45842</x:v>
      </x:c>
      <x:c r="C27" s="23" t="str">
        <x:f>"Bank Statement"</x:f>
        <x:v>Bank Statement</x:v>
      </x:c>
      <x:c r="D27" s="23" t="str">
        <x:f>'Transaction Mapping'!E15</x:f>
        <x:v>TRF-03-04</x:v>
      </x:c>
      <x:c r="E27" s="23" t="str">
        <x:f>'Transaction Mapping'!D15</x:f>
        <x:v>Transfer received from UBL Collections</x:v>
      </x:c>
      <x:c r="F27" s="23" t="str">
        <x:f>'Transaction Mapping'!K15</x:f>
        <x:v>1031</x:v>
      </x:c>
      <x:c r="G27" s="23" t="str">
        <x:f>'Transaction Mapping'!L15</x:f>
        <x:v>PK75MPBL0124067140164610</x:v>
      </x:c>
      <x:c r="H27" s="30" t="n">
        <x:f>'Transaction Mapping'!G15</x:f>
        <x:v>250000</x:v>
      </x:c>
      <x:c r="I27" s="30" t="n">
        <x:f>'Transaction Mapping'!F15</x:f>
        <x:v>0</x:v>
      </x:c>
      <x:c r="J27" s="23" t="str">
        <x:f>'Transaction Mapping'!P15</x:f>
        <x:v>TRUCK IT IN PVT LTD</x:v>
      </x:c>
      <x:c r="K27" s="23" t="str">
        <x:f>"N/A"</x:f>
        <x:v>N/A</x:v>
      </x:c>
      <x:c r="L27" s="23" t="str">
        <x:f>"Posted"</x:f>
        <x:v>Posted</x:v>
      </x:c>
      <x:c r="M27" s="23" t="str">
        <x:f>'Transaction Mapping'!T15</x:f>
        <x:v>Transfer</x:v>
      </x:c>
      <x:c r="N27" s="24" t="str">
        <x:f>'Transaction Mapping'!V15</x:f>
        <x:v>FS-000020</x:v>
      </x:c>
    </x:row>
    <x:row r="28">
      <x:c r="A28" s="22" t="str">
        <x:f>"JE-013"</x:f>
        <x:v>JE-013</x:v>
      </x:c>
      <x:c r="B28" s="34" t="n">
        <x:f>'Transaction Mapping'!C15</x:f>
        <x:v>45842</x:v>
      </x:c>
      <x:c r="C28" s="23" t="str">
        <x:f>"Bank Statement"</x:f>
        <x:v>Bank Statement</x:v>
      </x:c>
      <x:c r="D28" s="23" t="str">
        <x:f>'Transaction Mapping'!E15</x:f>
        <x:v>TRF-03-04</x:v>
      </x:c>
      <x:c r="E28" s="23" t="str">
        <x:f>'Transaction Mapping'!D15</x:f>
        <x:v>Transfer received from UBL Collections</x:v>
      </x:c>
      <x:c r="F28" s="23" t="str">
        <x:f>'Transaction Mapping'!M15</x:f>
        <x:v>1028</x:v>
      </x:c>
      <x:c r="G28" s="23" t="str">
        <x:f>'Transaction Mapping'!N15</x:f>
        <x:v>PK49DUIB0000000627075001</x:v>
      </x:c>
      <x:c r="H28" s="30" t="n">
        <x:f>'Transaction Mapping'!F15</x:f>
        <x:v>0</x:v>
      </x:c>
      <x:c r="I28" s="30" t="n">
        <x:f>'Transaction Mapping'!G15</x:f>
        <x:v>250000</x:v>
      </x:c>
      <x:c r="J28" s="23" t="str">
        <x:f>'Transaction Mapping'!P15</x:f>
        <x:v>TRUCK IT IN PVT LTD</x:v>
      </x:c>
      <x:c r="K28" s="23" t="str">
        <x:f>"N/A"</x:f>
        <x:v>N/A</x:v>
      </x:c>
      <x:c r="L28" s="23" t="str">
        <x:f>"Posted"</x:f>
        <x:v>Posted</x:v>
      </x:c>
      <x:c r="M28" s="23" t="str">
        <x:f>'Transaction Mapping'!T15</x:f>
        <x:v>Transfer</x:v>
      </x:c>
      <x:c r="N28" s="24" t="str">
        <x:f>'Transaction Mapping'!V15</x:f>
        <x:v>FS-000020</x:v>
      </x:c>
    </x:row>
    <x:row r="29">
      <x:c r="A29" s="22" t="str">
        <x:f>"JE-014"</x:f>
        <x:v>JE-014</x:v>
      </x:c>
      <x:c r="B29" s="34" t="n">
        <x:f>'Transaction Mapping'!C16</x:f>
        <x:v>45843</x:v>
      </x:c>
      <x:c r="C29" s="23" t="str">
        <x:f>"Bank Statement"</x:f>
        <x:v>Bank Statement</x:v>
      </x:c>
      <x:c r="D29" s="23" t="str">
        <x:f>'Transaction Mapping'!E16</x:f>
        <x:v>B04-002</x:v>
      </x:c>
      <x:c r="E29" s="23" t="str">
        <x:f>'Transaction Mapping'!D16</x:f>
        <x:v>Warehouse security deposit</x:v>
      </x:c>
      <x:c r="F29" s="23" t="str">
        <x:f>'Transaction Mapping'!K16</x:f>
        <x:v>1031</x:v>
      </x:c>
      <x:c r="G29" s="23" t="str">
        <x:f>'Transaction Mapping'!L16</x:f>
        <x:v>PK75MPBL0124067140164610</x:v>
      </x:c>
      <x:c r="H29" s="30" t="n">
        <x:f>'Transaction Mapping'!G16</x:f>
        <x:v>0</x:v>
      </x:c>
      <x:c r="I29" s="30" t="n">
        <x:f>'Transaction Mapping'!F16</x:f>
        <x:v>120000</x:v>
      </x:c>
      <x:c r="J29" s="23" t="str">
        <x:f>'Transaction Mapping'!P16</x:f>
        <x:v>TRUCK IT IN PVT LTD</x:v>
      </x:c>
      <x:c r="K29" s="23" t="str">
        <x:f>"N/A"</x:f>
        <x:v>N/A</x:v>
      </x:c>
      <x:c r="L29" s="23" t="str">
        <x:f>"Posted"</x:f>
        <x:v>Posted</x:v>
      </x:c>
      <x:c r="M29" s="23" t="str">
        <x:f>'Transaction Mapping'!T16</x:f>
        <x:v>Investing - Payments</x:v>
      </x:c>
      <x:c r="N29" s="24" t="str">
        <x:f>'Transaction Mapping'!V16</x:f>
        <x:v>FS-000007</x:v>
      </x:c>
    </x:row>
    <x:row r="30">
      <x:c r="A30" s="22" t="str">
        <x:f>"JE-014"</x:f>
        <x:v>JE-014</x:v>
      </x:c>
      <x:c r="B30" s="34" t="n">
        <x:f>'Transaction Mapping'!C16</x:f>
        <x:v>45843</x:v>
      </x:c>
      <x:c r="C30" s="23" t="str">
        <x:f>"Bank Statement"</x:f>
        <x:v>Bank Statement</x:v>
      </x:c>
      <x:c r="D30" s="23" t="str">
        <x:f>'Transaction Mapping'!E16</x:f>
        <x:v>B04-002</x:v>
      </x:c>
      <x:c r="E30" s="23" t="str">
        <x:f>'Transaction Mapping'!D16</x:f>
        <x:v>Warehouse security deposit</x:v>
      </x:c>
      <x:c r="F30" s="23" t="str">
        <x:f>'Transaction Mapping'!M16</x:f>
        <x:v>1021</x:v>
      </x:c>
      <x:c r="G30" s="23" t="str">
        <x:f>'Transaction Mapping'!N16</x:f>
        <x:v>Security deposit-Office</x:v>
      </x:c>
      <x:c r="H30" s="30" t="n">
        <x:f>'Transaction Mapping'!F16</x:f>
        <x:v>120000</x:v>
      </x:c>
      <x:c r="I30" s="30" t="n">
        <x:f>'Transaction Mapping'!G16</x:f>
        <x:v>0</x:v>
      </x:c>
      <x:c r="J30" s="23" t="str">
        <x:f>'Transaction Mapping'!P16</x:f>
        <x:v>TRUCK IT IN PVT LTD</x:v>
      </x:c>
      <x:c r="K30" s="23" t="str">
        <x:f>"N/A"</x:f>
        <x:v>N/A</x:v>
      </x:c>
      <x:c r="L30" s="23" t="str">
        <x:f>"Posted"</x:f>
        <x:v>Posted</x:v>
      </x:c>
      <x:c r="M30" s="23" t="str">
        <x:f>'Transaction Mapping'!T16</x:f>
        <x:v>Investing - Payments</x:v>
      </x:c>
      <x:c r="N30" s="24" t="str">
        <x:f>'Transaction Mapping'!V16</x:f>
        <x:v>FS-000007</x:v>
      </x:c>
    </x:row>
    <x:row r="31">
      <x:c r="A31" s="22" t="str">
        <x:f>"JE-015"</x:f>
        <x:v>JE-015</x:v>
      </x:c>
      <x:c r="B31" s="34" t="n">
        <x:f>'Transaction Mapping'!C17</x:f>
        <x:v>45844</x:v>
      </x:c>
      <x:c r="C31" s="23" t="str">
        <x:f>"Bank Statement"</x:f>
        <x:v>Bank Statement</x:v>
      </x:c>
      <x:c r="D31" s="23" t="str">
        <x:f>'Transaction Mapping'!E17</x:f>
        <x:v>B04-003</x:v>
      </x:c>
      <x:c r="E31" s="23" t="str">
        <x:f>'Transaction Mapping'!D17</x:f>
        <x:v>Office rent payment</x:v>
      </x:c>
      <x:c r="F31" s="23" t="str">
        <x:f>'Transaction Mapping'!K17</x:f>
        <x:v>1031</x:v>
      </x:c>
      <x:c r="G31" s="23" t="str">
        <x:f>'Transaction Mapping'!L17</x:f>
        <x:v>PK75MPBL0124067140164610</x:v>
      </x:c>
      <x:c r="H31" s="30" t="n">
        <x:f>'Transaction Mapping'!G17</x:f>
        <x:v>0</x:v>
      </x:c>
      <x:c r="I31" s="30" t="n">
        <x:f>'Transaction Mapping'!F17</x:f>
        <x:v>90000</x:v>
      </x:c>
      <x:c r="J31" s="23" t="str">
        <x:f>'Transaction Mapping'!P17</x:f>
        <x:v>TRUCK IT IN PVT LTD</x:v>
      </x:c>
      <x:c r="K31" s="23" t="str">
        <x:f>"N/A"</x:f>
        <x:v>N/A</x:v>
      </x:c>
      <x:c r="L31" s="23" t="str">
        <x:f>"Posted"</x:f>
        <x:v>Posted</x:v>
      </x:c>
      <x:c r="M31" s="23" t="str">
        <x:f>'Transaction Mapping'!T17</x:f>
        <x:v>Operating - Payments</x:v>
      </x:c>
      <x:c r="N31" s="24" t="str">
        <x:f>'Transaction Mapping'!V17</x:f>
        <x:v>FS-000012</x:v>
      </x:c>
    </x:row>
    <x:row r="32">
      <x:c r="A32" s="22" t="str">
        <x:f>"JE-015"</x:f>
        <x:v>JE-015</x:v>
      </x:c>
      <x:c r="B32" s="34" t="n">
        <x:f>'Transaction Mapping'!C17</x:f>
        <x:v>45844</x:v>
      </x:c>
      <x:c r="C32" s="23" t="str">
        <x:f>"Bank Statement"</x:f>
        <x:v>Bank Statement</x:v>
      </x:c>
      <x:c r="D32" s="23" t="str">
        <x:f>'Transaction Mapping'!E17</x:f>
        <x:v>B04-003</x:v>
      </x:c>
      <x:c r="E32" s="23" t="str">
        <x:f>'Transaction Mapping'!D17</x:f>
        <x:v>Office rent payment</x:v>
      </x:c>
      <x:c r="F32" s="23" t="str">
        <x:f>'Transaction Mapping'!M17</x:f>
        <x:v>1058</x:v>
      </x:c>
      <x:c r="G32" s="23" t="str">
        <x:f>'Transaction Mapping'!N17</x:f>
        <x:v>Rent and utilities</x:v>
      </x:c>
      <x:c r="H32" s="30" t="n">
        <x:f>'Transaction Mapping'!F17</x:f>
        <x:v>90000</x:v>
      </x:c>
      <x:c r="I32" s="30" t="n">
        <x:f>'Transaction Mapping'!G17</x:f>
        <x:v>0</x:v>
      </x:c>
      <x:c r="J32" s="23" t="str">
        <x:f>'Transaction Mapping'!P17</x:f>
        <x:v>TRUCK IT IN PVT LTD</x:v>
      </x:c>
      <x:c r="K32" s="23" t="str">
        <x:f>"N/A"</x:f>
        <x:v>N/A</x:v>
      </x:c>
      <x:c r="L32" s="23" t="str">
        <x:f>"Posted"</x:f>
        <x:v>Posted</x:v>
      </x:c>
      <x:c r="M32" s="23" t="str">
        <x:f>'Transaction Mapping'!T17</x:f>
        <x:v>Operating - Payments</x:v>
      </x:c>
      <x:c r="N32" s="24" t="str">
        <x:f>'Transaction Mapping'!V17</x:f>
        <x:v>FS-000012</x:v>
      </x:c>
    </x:row>
    <x:row r="33">
      <x:c r="A33" s="22" t="str">
        <x:f>"JE-016"</x:f>
        <x:v>JE-016</x:v>
      </x:c>
      <x:c r="B33" s="34" t="n">
        <x:f>'Transaction Mapping'!C18</x:f>
        <x:v>45845</x:v>
      </x:c>
      <x:c r="C33" s="23" t="str">
        <x:f>"Bank Statement"</x:f>
        <x:v>Bank Statement</x:v>
      </x:c>
      <x:c r="D33" s="23" t="str">
        <x:f>'Transaction Mapping'!E18</x:f>
        <x:v>B04-004</x:v>
      </x:c>
      <x:c r="E33" s="23" t="str">
        <x:f>'Transaction Mapping'!D18</x:f>
        <x:v>Bank profit credited</x:v>
      </x:c>
      <x:c r="F33" s="23" t="str">
        <x:f>'Transaction Mapping'!K18</x:f>
        <x:v>1031</x:v>
      </x:c>
      <x:c r="G33" s="23" t="str">
        <x:f>'Transaction Mapping'!L18</x:f>
        <x:v>PK75MPBL0124067140164610</x:v>
      </x:c>
      <x:c r="H33" s="30" t="n">
        <x:f>'Transaction Mapping'!G18</x:f>
        <x:v>14000</x:v>
      </x:c>
      <x:c r="I33" s="30" t="n">
        <x:f>'Transaction Mapping'!F18</x:f>
        <x:v>0</x:v>
      </x:c>
      <x:c r="J33" s="23" t="str">
        <x:f>'Transaction Mapping'!P18</x:f>
        <x:v>TRUCK IT IN PVT LTD</x:v>
      </x:c>
      <x:c r="K33" s="23" t="str">
        <x:f>"N/A"</x:f>
        <x:v>N/A</x:v>
      </x:c>
      <x:c r="L33" s="23" t="str">
        <x:f>"Posted"</x:f>
        <x:v>Posted</x:v>
      </x:c>
      <x:c r="M33" s="23" t="str">
        <x:f>'Transaction Mapping'!T18</x:f>
        <x:v>Operating - Receipts</x:v>
      </x:c>
      <x:c r="N33" s="24" t="str">
        <x:f>'Transaction Mapping'!V18</x:f>
        <x:v>FS-000013</x:v>
      </x:c>
    </x:row>
    <x:row r="34">
      <x:c r="A34" s="22" t="str">
        <x:f>"JE-016"</x:f>
        <x:v>JE-016</x:v>
      </x:c>
      <x:c r="B34" s="34" t="n">
        <x:f>'Transaction Mapping'!C18</x:f>
        <x:v>45845</x:v>
      </x:c>
      <x:c r="C34" s="23" t="str">
        <x:f>"Bank Statement"</x:f>
        <x:v>Bank Statement</x:v>
      </x:c>
      <x:c r="D34" s="23" t="str">
        <x:f>'Transaction Mapping'!E18</x:f>
        <x:v>B04-004</x:v>
      </x:c>
      <x:c r="E34" s="23" t="str">
        <x:f>'Transaction Mapping'!D18</x:f>
        <x:v>Bank profit credited</x:v>
      </x:c>
      <x:c r="F34" s="23" t="str">
        <x:f>'Transaction Mapping'!M18</x:f>
        <x:v>1066</x:v>
      </x:c>
      <x:c r="G34" s="23" t="str">
        <x:f>'Transaction Mapping'!N18</x:f>
        <x:v>Profit on PLS</x:v>
      </x:c>
      <x:c r="H34" s="30" t="n">
        <x:f>'Transaction Mapping'!F18</x:f>
        <x:v>0</x:v>
      </x:c>
      <x:c r="I34" s="30" t="n">
        <x:f>'Transaction Mapping'!G18</x:f>
        <x:v>14000</x:v>
      </x:c>
      <x:c r="J34" s="23" t="str">
        <x:f>'Transaction Mapping'!P18</x:f>
        <x:v>TRUCK IT IN PVT LTD</x:v>
      </x:c>
      <x:c r="K34" s="23" t="str">
        <x:f>"N/A"</x:f>
        <x:v>N/A</x:v>
      </x:c>
      <x:c r="L34" s="23" t="str">
        <x:f>"Posted"</x:f>
        <x:v>Posted</x:v>
      </x:c>
      <x:c r="M34" s="23" t="str">
        <x:f>'Transaction Mapping'!T18</x:f>
        <x:v>Operating - Receipts</x:v>
      </x:c>
      <x:c r="N34" s="24" t="str">
        <x:f>'Transaction Mapping'!V18</x:f>
        <x:v>FS-000013</x:v>
      </x:c>
    </x:row>
    <x:row r="35">
      <x:c r="A35" s="22" t="str">
        <x:f>"JE-017"</x:f>
        <x:v>JE-017</x:v>
      </x:c>
      <x:c r="B35" s="34" t="n">
        <x:f>'Transaction Mapping'!C19</x:f>
        <x:v>45846</x:v>
      </x:c>
      <x:c r="C35" s="23" t="str">
        <x:f>"Bank Statement"</x:f>
        <x:v>Bank Statement</x:v>
      </x:c>
      <x:c r="D35" s="23" t="str">
        <x:f>'Transaction Mapping'!E19</x:f>
        <x:v>B04-005</x:v>
      </x:c>
      <x:c r="E35" s="23" t="str">
        <x:f>'Transaction Mapping'!D19</x:f>
        <x:v>Withholding tax on bank profit</x:v>
      </x:c>
      <x:c r="F35" s="23" t="str">
        <x:f>'Transaction Mapping'!K19</x:f>
        <x:v>1031</x:v>
      </x:c>
      <x:c r="G35" s="23" t="str">
        <x:f>'Transaction Mapping'!L19</x:f>
        <x:v>PK75MPBL0124067140164610</x:v>
      </x:c>
      <x:c r="H35" s="30" t="n">
        <x:f>'Transaction Mapping'!G19</x:f>
        <x:v>0</x:v>
      </x:c>
      <x:c r="I35" s="30" t="n">
        <x:f>'Transaction Mapping'!F19</x:f>
        <x:v>2000</x:v>
      </x:c>
      <x:c r="J35" s="23" t="str">
        <x:f>'Transaction Mapping'!P19</x:f>
        <x:v>TRUCK IT IN PVT LTD</x:v>
      </x:c>
      <x:c r="K35" s="23" t="str">
        <x:f>"N/A"</x:f>
        <x:v>N/A</x:v>
      </x:c>
      <x:c r="L35" s="23" t="str">
        <x:f>"Posted"</x:f>
        <x:v>Posted</x:v>
      </x:c>
      <x:c r="M35" s="23" t="str">
        <x:f>'Transaction Mapping'!T19</x:f>
        <x:v>Operating - Payments</x:v>
      </x:c>
      <x:c r="N35" s="24" t="str">
        <x:f>'Transaction Mapping'!V19</x:f>
        <x:v>FS-000014</x:v>
      </x:c>
    </x:row>
    <x:row r="36">
      <x:c r="A36" s="22" t="str">
        <x:f>"JE-017"</x:f>
        <x:v>JE-017</x:v>
      </x:c>
      <x:c r="B36" s="34" t="n">
        <x:f>'Transaction Mapping'!C19</x:f>
        <x:v>45846</x:v>
      </x:c>
      <x:c r="C36" s="23" t="str">
        <x:f>"Bank Statement"</x:f>
        <x:v>Bank Statement</x:v>
      </x:c>
      <x:c r="D36" s="23" t="str">
        <x:f>'Transaction Mapping'!E19</x:f>
        <x:v>B04-005</x:v>
      </x:c>
      <x:c r="E36" s="23" t="str">
        <x:f>'Transaction Mapping'!D19</x:f>
        <x:v>Withholding tax on bank profit</x:v>
      </x:c>
      <x:c r="F36" s="23" t="str">
        <x:f>'Transaction Mapping'!M19</x:f>
        <x:v>1045</x:v>
      </x:c>
      <x:c r="G36" s="23" t="str">
        <x:f>'Transaction Mapping'!N19</x:f>
        <x:v>WHT on Bank Profit</x:v>
      </x:c>
      <x:c r="H36" s="30" t="n">
        <x:f>'Transaction Mapping'!F19</x:f>
        <x:v>2000</x:v>
      </x:c>
      <x:c r="I36" s="30" t="n">
        <x:f>'Transaction Mapping'!G19</x:f>
        <x:v>0</x:v>
      </x:c>
      <x:c r="J36" s="23" t="str">
        <x:f>'Transaction Mapping'!P19</x:f>
        <x:v>TRUCK IT IN PVT LTD</x:v>
      </x:c>
      <x:c r="K36" s="23" t="str">
        <x:f>"N/A"</x:f>
        <x:v>N/A</x:v>
      </x:c>
      <x:c r="L36" s="23" t="str">
        <x:f>"Posted"</x:f>
        <x:v>Posted</x:v>
      </x:c>
      <x:c r="M36" s="23" t="str">
        <x:f>'Transaction Mapping'!T19</x:f>
        <x:v>Operating - Payments</x:v>
      </x:c>
      <x:c r="N36" s="24" t="str">
        <x:f>'Transaction Mapping'!V19</x:f>
        <x:v>FS-000014</x:v>
      </x:c>
    </x:row>
    <x:row r="37">
      <x:c r="A37" s="22" t="str">
        <x:f>"JE-018"</x:f>
        <x:v>JE-018</x:v>
      </x:c>
      <x:c r="B37" s="34" t="n">
        <x:f>'Transaction Mapping'!C20</x:f>
        <x:v>45843</x:v>
      </x:c>
      <x:c r="C37" s="23" t="str">
        <x:f>"Bank Statement"</x:f>
        <x:v>Bank Statement</x:v>
      </x:c>
      <x:c r="D37" s="23" t="str">
        <x:f>'Transaction Mapping'!E20</x:f>
        <x:v>B05-001</x:v>
      </x:c>
      <x:c r="E37" s="23" t="str">
        <x:f>'Transaction Mapping'!D20</x:f>
        <x:v>Customer collection — northern region</x:v>
      </x:c>
      <x:c r="F37" s="23" t="str">
        <x:f>'Transaction Mapping'!K20</x:f>
        <x:v>1029</x:v>
      </x:c>
      <x:c r="G37" s="23" t="str">
        <x:f>'Transaction Mapping'!L20</x:f>
        <x:v>PK55HABB0022827200508103</x:v>
      </x:c>
      <x:c r="H37" s="30" t="n">
        <x:f>'Transaction Mapping'!G20</x:f>
        <x:v>750000</x:v>
      </x:c>
      <x:c r="I37" s="30" t="n">
        <x:f>'Transaction Mapping'!F20</x:f>
        <x:v>0</x:v>
      </x:c>
      <x:c r="J37" s="23" t="str">
        <x:f>'Transaction Mapping'!P20</x:f>
        <x:v>TRUCK IT IN PVT LTD</x:v>
      </x:c>
      <x:c r="K37" s="23" t="str">
        <x:f>"N/A"</x:f>
        <x:v>N/A</x:v>
      </x:c>
      <x:c r="L37" s="23" t="str">
        <x:f>"Posted"</x:f>
        <x:v>Posted</x:v>
      </x:c>
      <x:c r="M37" s="23" t="str">
        <x:f>'Transaction Mapping'!T20</x:f>
        <x:v>Operating - Receipts</x:v>
      </x:c>
      <x:c r="N37" s="24" t="str">
        <x:f>'Transaction Mapping'!V20</x:f>
        <x:v>FS-000022</x:v>
      </x:c>
    </x:row>
    <x:row r="38">
      <x:c r="A38" s="22" t="str">
        <x:f>"JE-018"</x:f>
        <x:v>JE-018</x:v>
      </x:c>
      <x:c r="B38" s="34" t="n">
        <x:f>'Transaction Mapping'!C20</x:f>
        <x:v>45843</x:v>
      </x:c>
      <x:c r="C38" s="23" t="str">
        <x:f>"Bank Statement"</x:f>
        <x:v>Bank Statement</x:v>
      </x:c>
      <x:c r="D38" s="23" t="str">
        <x:f>'Transaction Mapping'!E20</x:f>
        <x:v>B05-001</x:v>
      </x:c>
      <x:c r="E38" s="23" t="str">
        <x:f>'Transaction Mapping'!D20</x:f>
        <x:v>Customer collection — northern region</x:v>
      </x:c>
      <x:c r="F38" s="23" t="str">
        <x:f>'Transaction Mapping'!M20</x:f>
        <x:v>1050</x:v>
      </x:c>
      <x:c r="G38" s="23" t="str">
        <x:f>'Transaction Mapping'!N20</x:f>
        <x:v>Sales revenue</x:v>
      </x:c>
      <x:c r="H38" s="30" t="n">
        <x:f>'Transaction Mapping'!F20</x:f>
        <x:v>0</x:v>
      </x:c>
      <x:c r="I38" s="30" t="n">
        <x:f>'Transaction Mapping'!G20</x:f>
        <x:v>750000</x:v>
      </x:c>
      <x:c r="J38" s="23" t="str">
        <x:f>'Transaction Mapping'!P20</x:f>
        <x:v>TRUCK IT IN PVT LTD</x:v>
      </x:c>
      <x:c r="K38" s="23" t="str">
        <x:f>"N/A"</x:f>
        <x:v>N/A</x:v>
      </x:c>
      <x:c r="L38" s="23" t="str">
        <x:f>"Posted"</x:f>
        <x:v>Posted</x:v>
      </x:c>
      <x:c r="M38" s="23" t="str">
        <x:f>'Transaction Mapping'!T20</x:f>
        <x:v>Operating - Receipts</x:v>
      </x:c>
      <x:c r="N38" s="24" t="str">
        <x:f>'Transaction Mapping'!V20</x:f>
        <x:v>FS-000022</x:v>
      </x:c>
    </x:row>
    <x:row r="39">
      <x:c r="A39" s="22" t="str">
        <x:f>"JE-019"</x:f>
        <x:v>JE-019</x:v>
      </x:c>
      <x:c r="B39" s="34" t="n">
        <x:f>'Transaction Mapping'!C21</x:f>
        <x:v>45844</x:v>
      </x:c>
      <x:c r="C39" s="23" t="str">
        <x:f>"Bank Statement"</x:f>
        <x:v>Bank Statement</x:v>
      </x:c>
      <x:c r="D39" s="23" t="str">
        <x:f>'Transaction Mapping'!E21</x:f>
        <x:v>B05-002</x:v>
      </x:c>
      <x:c r="E39" s="23" t="str">
        <x:f>'Transaction Mapping'!D21</x:f>
        <x:v>Offline marketing campaign</x:v>
      </x:c>
      <x:c r="F39" s="23" t="str">
        <x:f>'Transaction Mapping'!K21</x:f>
        <x:v>1029</x:v>
      </x:c>
      <x:c r="G39" s="23" t="str">
        <x:f>'Transaction Mapping'!L21</x:f>
        <x:v>PK55HABB0022827200508103</x:v>
      </x:c>
      <x:c r="H39" s="30" t="n">
        <x:f>'Transaction Mapping'!G21</x:f>
        <x:v>0</x:v>
      </x:c>
      <x:c r="I39" s="30" t="n">
        <x:f>'Transaction Mapping'!F21</x:f>
        <x:v>110000</x:v>
      </x:c>
      <x:c r="J39" s="23" t="str">
        <x:f>'Transaction Mapping'!P21</x:f>
        <x:v>TRUCK IT IN PVT LTD</x:v>
      </x:c>
      <x:c r="K39" s="23" t="str">
        <x:f>"N/A"</x:f>
        <x:v>N/A</x:v>
      </x:c>
      <x:c r="L39" s="23" t="str">
        <x:f>"Posted"</x:f>
        <x:v>Posted</x:v>
      </x:c>
      <x:c r="M39" s="23" t="str">
        <x:f>'Transaction Mapping'!T21</x:f>
        <x:v>Operating - Payments</x:v>
      </x:c>
      <x:c r="N39" s="24" t="str">
        <x:f>'Transaction Mapping'!V21</x:f>
        <x:v>FS-000016</x:v>
      </x:c>
    </x:row>
    <x:row r="40">
      <x:c r="A40" s="22" t="str">
        <x:f>"JE-019"</x:f>
        <x:v>JE-019</x:v>
      </x:c>
      <x:c r="B40" s="34" t="n">
        <x:f>'Transaction Mapping'!C21</x:f>
        <x:v>45844</x:v>
      </x:c>
      <x:c r="C40" s="23" t="str">
        <x:f>"Bank Statement"</x:f>
        <x:v>Bank Statement</x:v>
      </x:c>
      <x:c r="D40" s="23" t="str">
        <x:f>'Transaction Mapping'!E21</x:f>
        <x:v>B05-002</x:v>
      </x:c>
      <x:c r="E40" s="23" t="str">
        <x:f>'Transaction Mapping'!D21</x:f>
        <x:v>Offline marketing campaign</x:v>
      </x:c>
      <x:c r="F40" s="23" t="str">
        <x:f>'Transaction Mapping'!M21</x:f>
        <x:v>1061</x:v>
      </x:c>
      <x:c r="G40" s="23" t="str">
        <x:f>'Transaction Mapping'!N21</x:f>
        <x:v>Offline marketing and channel</x:v>
      </x:c>
      <x:c r="H40" s="30" t="n">
        <x:f>'Transaction Mapping'!F21</x:f>
        <x:v>110000</x:v>
      </x:c>
      <x:c r="I40" s="30" t="n">
        <x:f>'Transaction Mapping'!G21</x:f>
        <x:v>0</x:v>
      </x:c>
      <x:c r="J40" s="23" t="str">
        <x:f>'Transaction Mapping'!P21</x:f>
        <x:v>TRUCK IT IN PVT LTD</x:v>
      </x:c>
      <x:c r="K40" s="23" t="str">
        <x:f>"N/A"</x:f>
        <x:v>N/A</x:v>
      </x:c>
      <x:c r="L40" s="23" t="str">
        <x:f>"Posted"</x:f>
        <x:v>Posted</x:v>
      </x:c>
      <x:c r="M40" s="23" t="str">
        <x:f>'Transaction Mapping'!T21</x:f>
        <x:v>Operating - Payments</x:v>
      </x:c>
      <x:c r="N40" s="24" t="str">
        <x:f>'Transaction Mapping'!V21</x:f>
        <x:v>FS-000016</x:v>
      </x:c>
    </x:row>
    <x:row r="41">
      <x:c r="A41" s="22" t="str">
        <x:f>"JE-020"</x:f>
        <x:v>JE-020</x:v>
      </x:c>
      <x:c r="B41" s="34" t="n">
        <x:f>'Transaction Mapping'!C22</x:f>
        <x:v>45845</x:v>
      </x:c>
      <x:c r="C41" s="23" t="str">
        <x:f>"Bank Statement"</x:f>
        <x:v>Bank Statement</x:v>
      </x:c>
      <x:c r="D41" s="23" t="str">
        <x:f>'Transaction Mapping'!E22</x:f>
        <x:v>B05-003</x:v>
      </x:c>
      <x:c r="E41" s="23" t="str">
        <x:f>'Transaction Mapping'!D22</x:f>
        <x:v>Professional services fee</x:v>
      </x:c>
      <x:c r="F41" s="23" t="str">
        <x:f>'Transaction Mapping'!K22</x:f>
        <x:v>1029</x:v>
      </x:c>
      <x:c r="G41" s="23" t="str">
        <x:f>'Transaction Mapping'!L22</x:f>
        <x:v>PK55HABB0022827200508103</x:v>
      </x:c>
      <x:c r="H41" s="30" t="n">
        <x:f>'Transaction Mapping'!G22</x:f>
        <x:v>0</x:v>
      </x:c>
      <x:c r="I41" s="30" t="n">
        <x:f>'Transaction Mapping'!F22</x:f>
        <x:v>95000</x:v>
      </x:c>
      <x:c r="J41" s="23" t="str">
        <x:f>'Transaction Mapping'!P22</x:f>
        <x:v>TRUCK IT IN PVT LTD</x:v>
      </x:c>
      <x:c r="K41" s="23" t="str">
        <x:f>"N/A"</x:f>
        <x:v>N/A</x:v>
      </x:c>
      <x:c r="L41" s="23" t="str">
        <x:f>"Posted"</x:f>
        <x:v>Posted</x:v>
      </x:c>
      <x:c r="M41" s="23" t="str">
        <x:f>'Transaction Mapping'!T22</x:f>
        <x:v>Operating - Payments</x:v>
      </x:c>
      <x:c r="N41" s="24" t="str">
        <x:f>'Transaction Mapping'!V22</x:f>
        <x:v>FS-000015</x:v>
      </x:c>
    </x:row>
    <x:row r="42">
      <x:c r="A42" s="22" t="str">
        <x:f>"JE-020"</x:f>
        <x:v>JE-020</x:v>
      </x:c>
      <x:c r="B42" s="34" t="n">
        <x:f>'Transaction Mapping'!C22</x:f>
        <x:v>45845</x:v>
      </x:c>
      <x:c r="C42" s="23" t="str">
        <x:f>"Bank Statement"</x:f>
        <x:v>Bank Statement</x:v>
      </x:c>
      <x:c r="D42" s="23" t="str">
        <x:f>'Transaction Mapping'!E22</x:f>
        <x:v>B05-003</x:v>
      </x:c>
      <x:c r="E42" s="23" t="str">
        <x:f>'Transaction Mapping'!D22</x:f>
        <x:v>Professional services fee</x:v>
      </x:c>
      <x:c r="F42" s="23" t="str">
        <x:f>'Transaction Mapping'!M22</x:f>
        <x:v>1060</x:v>
      </x:c>
      <x:c r="G42" s="23" t="str">
        <x:f>'Transaction Mapping'!N22</x:f>
        <x:v>LEGAL &amp; PROFESSIONAL FEE</x:v>
      </x:c>
      <x:c r="H42" s="30" t="n">
        <x:f>'Transaction Mapping'!F22</x:f>
        <x:v>95000</x:v>
      </x:c>
      <x:c r="I42" s="30" t="n">
        <x:f>'Transaction Mapping'!G22</x:f>
        <x:v>0</x:v>
      </x:c>
      <x:c r="J42" s="23" t="str">
        <x:f>'Transaction Mapping'!P22</x:f>
        <x:v>TRUCK IT IN PVT LTD</x:v>
      </x:c>
      <x:c r="K42" s="23" t="str">
        <x:f>"N/A"</x:f>
        <x:v>N/A</x:v>
      </x:c>
      <x:c r="L42" s="23" t="str">
        <x:f>"Posted"</x:f>
        <x:v>Posted</x:v>
      </x:c>
      <x:c r="M42" s="23" t="str">
        <x:f>'Transaction Mapping'!T22</x:f>
        <x:v>Operating - Payments</x:v>
      </x:c>
      <x:c r="N42" s="24" t="str">
        <x:f>'Transaction Mapping'!V22</x:f>
        <x:v>FS-000015</x:v>
      </x:c>
    </x:row>
    <x:row r="43">
      <x:c r="A43" s="22" t="str">
        <x:f>"JE-021"</x:f>
        <x:v>JE-021</x:v>
      </x:c>
      <x:c r="B43" s="34" t="n">
        <x:f>'Transaction Mapping'!C23</x:f>
        <x:v>45846</x:v>
      </x:c>
      <x:c r="C43" s="23" t="str">
        <x:f>"Bank Statement"</x:f>
        <x:v>Bank Statement</x:v>
      </x:c>
      <x:c r="D43" s="23" t="str">
        <x:f>'Transaction Mapping'!E23</x:f>
        <x:v>TRF-05-06</x:v>
      </x:c>
      <x:c r="E43" s="23" t="str">
        <x:f>'Transaction Mapping'!D23</x:f>
        <x:v>Transfer to Meezan Corporate</x:v>
      </x:c>
      <x:c r="F43" s="23" t="str">
        <x:f>'Transaction Mapping'!K23</x:f>
        <x:v>1029</x:v>
      </x:c>
      <x:c r="G43" s="23" t="str">
        <x:f>'Transaction Mapping'!L23</x:f>
        <x:v>PK55HABB0022827200508103</x:v>
      </x:c>
      <x:c r="H43" s="30" t="n">
        <x:f>'Transaction Mapping'!G23</x:f>
        <x:v>0</x:v>
      </x:c>
      <x:c r="I43" s="30" t="n">
        <x:f>'Transaction Mapping'!F23</x:f>
        <x:v>250000</x:v>
      </x:c>
      <x:c r="J43" s="23" t="str">
        <x:f>'Transaction Mapping'!P23</x:f>
        <x:v>TRUCK IT IN PVT LTD</x:v>
      </x:c>
      <x:c r="K43" s="23" t="str">
        <x:f>"N/A"</x:f>
        <x:v>N/A</x:v>
      </x:c>
      <x:c r="L43" s="23" t="str">
        <x:f>"Posted"</x:f>
        <x:v>Posted</x:v>
      </x:c>
      <x:c r="M43" s="23" t="str">
        <x:f>'Transaction Mapping'!T23</x:f>
        <x:v>Transfer</x:v>
      </x:c>
      <x:c r="N43" s="24" t="str">
        <x:f>'Transaction Mapping'!V23</x:f>
        <x:v>FS-000020</x:v>
      </x:c>
    </x:row>
    <x:row r="44">
      <x:c r="A44" s="22" t="str">
        <x:f>"JE-021"</x:f>
        <x:v>JE-021</x:v>
      </x:c>
      <x:c r="B44" s="34" t="n">
        <x:f>'Transaction Mapping'!C23</x:f>
        <x:v>45846</x:v>
      </x:c>
      <x:c r="C44" s="23" t="str">
        <x:f>"Bank Statement"</x:f>
        <x:v>Bank Statement</x:v>
      </x:c>
      <x:c r="D44" s="23" t="str">
        <x:f>'Transaction Mapping'!E23</x:f>
        <x:v>TRF-05-06</x:v>
      </x:c>
      <x:c r="E44" s="23" t="str">
        <x:f>'Transaction Mapping'!D23</x:f>
        <x:v>Transfer to Meezan Corporate</x:v>
      </x:c>
      <x:c r="F44" s="23" t="str">
        <x:f>'Transaction Mapping'!M23</x:f>
        <x:v>1030</x:v>
      </x:c>
      <x:c r="G44" s="23" t="str">
        <x:f>'Transaction Mapping'!N23</x:f>
        <x:v>PK24MEZN0001110107095251</x:v>
      </x:c>
      <x:c r="H44" s="30" t="n">
        <x:f>'Transaction Mapping'!F23</x:f>
        <x:v>250000</x:v>
      </x:c>
      <x:c r="I44" s="30" t="n">
        <x:f>'Transaction Mapping'!G23</x:f>
        <x:v>0</x:v>
      </x:c>
      <x:c r="J44" s="23" t="str">
        <x:f>'Transaction Mapping'!P23</x:f>
        <x:v>TRUCK IT IN PVT LTD</x:v>
      </x:c>
      <x:c r="K44" s="23" t="str">
        <x:f>"N/A"</x:f>
        <x:v>N/A</x:v>
      </x:c>
      <x:c r="L44" s="23" t="str">
        <x:f>"Posted"</x:f>
        <x:v>Posted</x:v>
      </x:c>
      <x:c r="M44" s="23" t="str">
        <x:f>'Transaction Mapping'!T23</x:f>
        <x:v>Transfer</x:v>
      </x:c>
      <x:c r="N44" s="24" t="str">
        <x:f>'Transaction Mapping'!V23</x:f>
        <x:v>FS-000020</x:v>
      </x:c>
    </x:row>
    <x:row r="45">
      <x:c r="A45" s="22" t="str">
        <x:f>"JE-022"</x:f>
        <x:v>JE-022</x:v>
      </x:c>
      <x:c r="B45" s="34" t="n">
        <x:f>'Transaction Mapping'!C24</x:f>
        <x:v>45844</x:v>
      </x:c>
      <x:c r="C45" s="23" t="str">
        <x:f>"Bank Statement"</x:f>
        <x:v>Bank Statement</x:v>
      </x:c>
      <x:c r="D45" s="23" t="str">
        <x:f>'Transaction Mapping'!E24</x:f>
        <x:v>TRF-05-06</x:v>
      </x:c>
      <x:c r="E45" s="23" t="str">
        <x:f>'Transaction Mapping'!D24</x:f>
        <x:v>Transfer received from HBL North</x:v>
      </x:c>
      <x:c r="F45" s="23" t="str">
        <x:f>'Transaction Mapping'!K24</x:f>
        <x:v>1030</x:v>
      </x:c>
      <x:c r="G45" s="23" t="str">
        <x:f>'Transaction Mapping'!L24</x:f>
        <x:v>PK24MEZN0001110107095251</x:v>
      </x:c>
      <x:c r="H45" s="30" t="n">
        <x:f>'Transaction Mapping'!G24</x:f>
        <x:v>250000</x:v>
      </x:c>
      <x:c r="I45" s="30" t="n">
        <x:f>'Transaction Mapping'!F24</x:f>
        <x:v>0</x:v>
      </x:c>
      <x:c r="J45" s="23" t="str">
        <x:f>'Transaction Mapping'!P24</x:f>
        <x:v>TRUCK IT IN PVT LTD</x:v>
      </x:c>
      <x:c r="K45" s="23" t="str">
        <x:f>"N/A"</x:f>
        <x:v>N/A</x:v>
      </x:c>
      <x:c r="L45" s="23" t="str">
        <x:f>"Posted"</x:f>
        <x:v>Posted</x:v>
      </x:c>
      <x:c r="M45" s="23" t="str">
        <x:f>'Transaction Mapping'!T24</x:f>
        <x:v>Transfer</x:v>
      </x:c>
      <x:c r="N45" s="24" t="str">
        <x:f>'Transaction Mapping'!V24</x:f>
        <x:v>FS-000020</x:v>
      </x:c>
    </x:row>
    <x:row r="46">
      <x:c r="A46" s="22" t="str">
        <x:f>"JE-022"</x:f>
        <x:v>JE-022</x:v>
      </x:c>
      <x:c r="B46" s="34" t="n">
        <x:f>'Transaction Mapping'!C24</x:f>
        <x:v>45844</x:v>
      </x:c>
      <x:c r="C46" s="23" t="str">
        <x:f>"Bank Statement"</x:f>
        <x:v>Bank Statement</x:v>
      </x:c>
      <x:c r="D46" s="23" t="str">
        <x:f>'Transaction Mapping'!E24</x:f>
        <x:v>TRF-05-06</x:v>
      </x:c>
      <x:c r="E46" s="23" t="str">
        <x:f>'Transaction Mapping'!D24</x:f>
        <x:v>Transfer received from HBL North</x:v>
      </x:c>
      <x:c r="F46" s="23" t="str">
        <x:f>'Transaction Mapping'!M24</x:f>
        <x:v>1029</x:v>
      </x:c>
      <x:c r="G46" s="23" t="str">
        <x:f>'Transaction Mapping'!N24</x:f>
        <x:v>PK55HABB0022827200508103</x:v>
      </x:c>
      <x:c r="H46" s="30" t="n">
        <x:f>'Transaction Mapping'!F24</x:f>
        <x:v>0</x:v>
      </x:c>
      <x:c r="I46" s="30" t="n">
        <x:f>'Transaction Mapping'!G24</x:f>
        <x:v>250000</x:v>
      </x:c>
      <x:c r="J46" s="23" t="str">
        <x:f>'Transaction Mapping'!P24</x:f>
        <x:v>TRUCK IT IN PVT LTD</x:v>
      </x:c>
      <x:c r="K46" s="23" t="str">
        <x:f>"N/A"</x:f>
        <x:v>N/A</x:v>
      </x:c>
      <x:c r="L46" s="23" t="str">
        <x:f>"Posted"</x:f>
        <x:v>Posted</x:v>
      </x:c>
      <x:c r="M46" s="23" t="str">
        <x:f>'Transaction Mapping'!T24</x:f>
        <x:v>Transfer</x:v>
      </x:c>
      <x:c r="N46" s="24" t="str">
        <x:f>'Transaction Mapping'!V24</x:f>
        <x:v>FS-000020</x:v>
      </x:c>
    </x:row>
    <x:row r="47">
      <x:c r="A47" s="22" t="str">
        <x:f>"JE-023"</x:f>
        <x:v>JE-023</x:v>
      </x:c>
      <x:c r="B47" s="34" t="n">
        <x:f>'Transaction Mapping'!C25</x:f>
        <x:v>45845</x:v>
      </x:c>
      <x:c r="C47" s="23" t="str">
        <x:f>"Bank Statement"</x:f>
        <x:v>Bank Statement</x:v>
      </x:c>
      <x:c r="D47" s="23" t="str">
        <x:f>'Transaction Mapping'!E25</x:f>
        <x:v>B06-002</x:v>
      </x:c>
      <x:c r="E47" s="23" t="str">
        <x:f>'Transaction Mapping'!D25</x:f>
        <x:v>Payroll disbursement — operations</x:v>
      </x:c>
      <x:c r="F47" s="23" t="str">
        <x:f>'Transaction Mapping'!K25</x:f>
        <x:v>1030</x:v>
      </x:c>
      <x:c r="G47" s="23" t="str">
        <x:f>'Transaction Mapping'!L25</x:f>
        <x:v>PK24MEZN0001110107095251</x:v>
      </x:c>
      <x:c r="H47" s="30" t="n">
        <x:f>'Transaction Mapping'!G25</x:f>
        <x:v>0</x:v>
      </x:c>
      <x:c r="I47" s="30" t="n">
        <x:f>'Transaction Mapping'!F25</x:f>
        <x:v>180000</x:v>
      </x:c>
      <x:c r="J47" s="23" t="str">
        <x:f>'Transaction Mapping'!P25</x:f>
        <x:v>TRUCK IT IN PVT LTD</x:v>
      </x:c>
      <x:c r="K47" s="23" t="str">
        <x:f>"N/A"</x:f>
        <x:v>N/A</x:v>
      </x:c>
      <x:c r="L47" s="23" t="str">
        <x:f>"Posted"</x:f>
        <x:v>Posted</x:v>
      </x:c>
      <x:c r="M47" s="23" t="str">
        <x:f>'Transaction Mapping'!T25</x:f>
        <x:v>Operating - Payments</x:v>
      </x:c>
      <x:c r="N47" s="24" t="str">
        <x:f>'Transaction Mapping'!V25</x:f>
        <x:v>FS-000010</x:v>
      </x:c>
    </x:row>
    <x:row r="48">
      <x:c r="A48" s="22" t="str">
        <x:f>"JE-023"</x:f>
        <x:v>JE-023</x:v>
      </x:c>
      <x:c r="B48" s="34" t="n">
        <x:f>'Transaction Mapping'!C25</x:f>
        <x:v>45845</x:v>
      </x:c>
      <x:c r="C48" s="23" t="str">
        <x:f>"Bank Statement"</x:f>
        <x:v>Bank Statement</x:v>
      </x:c>
      <x:c r="D48" s="23" t="str">
        <x:f>'Transaction Mapping'!E25</x:f>
        <x:v>B06-002</x:v>
      </x:c>
      <x:c r="E48" s="23" t="str">
        <x:f>'Transaction Mapping'!D25</x:f>
        <x:v>Payroll disbursement — operations</x:v>
      </x:c>
      <x:c r="F48" s="23" t="str">
        <x:f>'Transaction Mapping'!M25</x:f>
        <x:v>1056</x:v>
      </x:c>
      <x:c r="G48" s="23" t="str">
        <x:f>'Transaction Mapping'!N25</x:f>
        <x:v>SALARIES &amp; WAGES</x:v>
      </x:c>
      <x:c r="H48" s="30" t="n">
        <x:f>'Transaction Mapping'!F25</x:f>
        <x:v>180000</x:v>
      </x:c>
      <x:c r="I48" s="30" t="n">
        <x:f>'Transaction Mapping'!G25</x:f>
        <x:v>0</x:v>
      </x:c>
      <x:c r="J48" s="23" t="str">
        <x:f>'Transaction Mapping'!P25</x:f>
        <x:v>TRUCK IT IN PVT LTD</x:v>
      </x:c>
      <x:c r="K48" s="23" t="str">
        <x:f>"N/A"</x:f>
        <x:v>N/A</x:v>
      </x:c>
      <x:c r="L48" s="23" t="str">
        <x:f>"Posted"</x:f>
        <x:v>Posted</x:v>
      </x:c>
      <x:c r="M48" s="23" t="str">
        <x:f>'Transaction Mapping'!T25</x:f>
        <x:v>Operating - Payments</x:v>
      </x:c>
      <x:c r="N48" s="24" t="str">
        <x:f>'Transaction Mapping'!V25</x:f>
        <x:v>FS-000010</x:v>
      </x:c>
    </x:row>
    <x:row r="49">
      <x:c r="A49" s="22" t="str">
        <x:f>"JE-024"</x:f>
        <x:v>JE-024</x:v>
      </x:c>
      <x:c r="B49" s="34" t="n">
        <x:f>'Transaction Mapping'!C26</x:f>
        <x:v>45846</x:v>
      </x:c>
      <x:c r="C49" s="23" t="str">
        <x:f>"Bank Statement"</x:f>
        <x:v>Bank Statement</x:v>
      </x:c>
      <x:c r="D49" s="23" t="str">
        <x:f>'Transaction Mapping'!E26</x:f>
        <x:v>B06-003</x:v>
      </x:c>
      <x:c r="E49" s="23" t="str">
        <x:f>'Transaction Mapping'!D26</x:f>
        <x:v>Travel and entertainment reimbursement</x:v>
      </x:c>
      <x:c r="F49" s="23" t="str">
        <x:f>'Transaction Mapping'!K26</x:f>
        <x:v>1030</x:v>
      </x:c>
      <x:c r="G49" s="23" t="str">
        <x:f>'Transaction Mapping'!L26</x:f>
        <x:v>PK24MEZN0001110107095251</x:v>
      </x:c>
      <x:c r="H49" s="30" t="n">
        <x:f>'Transaction Mapping'!G26</x:f>
        <x:v>0</x:v>
      </x:c>
      <x:c r="I49" s="30" t="n">
        <x:f>'Transaction Mapping'!F26</x:f>
        <x:v>40000</x:v>
      </x:c>
      <x:c r="J49" s="23" t="str">
        <x:f>'Transaction Mapping'!P26</x:f>
        <x:v>TRUCK IT IN PVT LTD</x:v>
      </x:c>
      <x:c r="K49" s="23" t="str">
        <x:f>"N/A"</x:f>
        <x:v>N/A</x:v>
      </x:c>
      <x:c r="L49" s="23" t="str">
        <x:f>"Posted"</x:f>
        <x:v>Posted</x:v>
      </x:c>
      <x:c r="M49" s="23" t="str">
        <x:f>'Transaction Mapping'!T26</x:f>
        <x:v>Operating - Payments</x:v>
      </x:c>
      <x:c r="N49" s="24" t="str">
        <x:f>'Transaction Mapping'!V26</x:f>
        <x:v>FS-000011</x:v>
      </x:c>
    </x:row>
    <x:row r="50">
      <x:c r="A50" s="22" t="str">
        <x:f>"JE-024"</x:f>
        <x:v>JE-024</x:v>
      </x:c>
      <x:c r="B50" s="34" t="n">
        <x:f>'Transaction Mapping'!C26</x:f>
        <x:v>45846</x:v>
      </x:c>
      <x:c r="C50" s="23" t="str">
        <x:f>"Bank Statement"</x:f>
        <x:v>Bank Statement</x:v>
      </x:c>
      <x:c r="D50" s="23" t="str">
        <x:f>'Transaction Mapping'!E26</x:f>
        <x:v>B06-003</x:v>
      </x:c>
      <x:c r="E50" s="23" t="str">
        <x:f>'Transaction Mapping'!D26</x:f>
        <x:v>Travel and entertainment reimbursement</x:v>
      </x:c>
      <x:c r="F50" s="23" t="str">
        <x:f>'Transaction Mapping'!M26</x:f>
        <x:v>1059</x:v>
      </x:c>
      <x:c r="G50" s="23" t="str">
        <x:f>'Transaction Mapping'!N26</x:f>
        <x:v>Travel and entertainment</x:v>
      </x:c>
      <x:c r="H50" s="30" t="n">
        <x:f>'Transaction Mapping'!F26</x:f>
        <x:v>40000</x:v>
      </x:c>
      <x:c r="I50" s="30" t="n">
        <x:f>'Transaction Mapping'!G26</x:f>
        <x:v>0</x:v>
      </x:c>
      <x:c r="J50" s="23" t="str">
        <x:f>'Transaction Mapping'!P26</x:f>
        <x:v>TRUCK IT IN PVT LTD</x:v>
      </x:c>
      <x:c r="K50" s="23" t="str">
        <x:f>"N/A"</x:f>
        <x:v>N/A</x:v>
      </x:c>
      <x:c r="L50" s="23" t="str">
        <x:f>"Posted"</x:f>
        <x:v>Posted</x:v>
      </x:c>
      <x:c r="M50" s="23" t="str">
        <x:f>'Transaction Mapping'!T26</x:f>
        <x:v>Operating - Payments</x:v>
      </x:c>
      <x:c r="N50" s="24" t="str">
        <x:f>'Transaction Mapping'!V26</x:f>
        <x:v>FS-000011</x:v>
      </x:c>
    </x:row>
    <x:row r="51">
      <x:c r="A51" s="22" t="str">
        <x:f>"JE-025"</x:f>
        <x:v>JE-025</x:v>
      </x:c>
      <x:c r="B51" s="34" t="n">
        <x:f>'Transaction Mapping'!C27</x:f>
        <x:v>45847</x:v>
      </x:c>
      <x:c r="C51" s="23" t="str">
        <x:f>"Bank Statement"</x:f>
        <x:v>Bank Statement</x:v>
      </x:c>
      <x:c r="D51" s="23" t="str">
        <x:f>'Transaction Mapping'!E27</x:f>
        <x:v>B06-004</x:v>
      </x:c>
      <x:c r="E51" s="23" t="str">
        <x:f>'Transaction Mapping'!D27</x:f>
        <x:v>Bank service charges</x:v>
      </x:c>
      <x:c r="F51" s="23" t="str">
        <x:f>'Transaction Mapping'!K27</x:f>
        <x:v>1030</x:v>
      </x:c>
      <x:c r="G51" s="23" t="str">
        <x:f>'Transaction Mapping'!L27</x:f>
        <x:v>PK24MEZN0001110107095251</x:v>
      </x:c>
      <x:c r="H51" s="30" t="n">
        <x:f>'Transaction Mapping'!G27</x:f>
        <x:v>0</x:v>
      </x:c>
      <x:c r="I51" s="30" t="n">
        <x:f>'Transaction Mapping'!F27</x:f>
        <x:v>10000</x:v>
      </x:c>
      <x:c r="J51" s="23" t="str">
        <x:f>'Transaction Mapping'!P27</x:f>
        <x:v>TRUCK IT IN PVT LTD</x:v>
      </x:c>
      <x:c r="K51" s="23" t="str">
        <x:f>"N/A"</x:f>
        <x:v>N/A</x:v>
      </x:c>
      <x:c r="L51" s="23" t="str">
        <x:f>"Posted"</x:f>
        <x:v>Posted</x:v>
      </x:c>
      <x:c r="M51" s="23" t="str">
        <x:f>'Transaction Mapping'!T27</x:f>
        <x:v>Operating - Payments</x:v>
      </x:c>
      <x:c r="N51" s="24" t="str">
        <x:f>'Transaction Mapping'!V27</x:f>
        <x:v>FS-000008</x:v>
      </x:c>
    </x:row>
    <x:row r="52">
      <x:c r="A52" s="22" t="str">
        <x:f>"JE-025"</x:f>
        <x:v>JE-025</x:v>
      </x:c>
      <x:c r="B52" s="34" t="n">
        <x:f>'Transaction Mapping'!C27</x:f>
        <x:v>45847</x:v>
      </x:c>
      <x:c r="C52" s="23" t="str">
        <x:f>"Bank Statement"</x:f>
        <x:v>Bank Statement</x:v>
      </x:c>
      <x:c r="D52" s="23" t="str">
        <x:f>'Transaction Mapping'!E27</x:f>
        <x:v>B06-004</x:v>
      </x:c>
      <x:c r="E52" s="23" t="str">
        <x:f>'Transaction Mapping'!D27</x:f>
        <x:v>Bank service charges</x:v>
      </x:c>
      <x:c r="F52" s="23" t="str">
        <x:f>'Transaction Mapping'!M27</x:f>
        <x:v>1057</x:v>
      </x:c>
      <x:c r="G52" s="23" t="str">
        <x:f>'Transaction Mapping'!N27</x:f>
        <x:v>Bank Charges</x:v>
      </x:c>
      <x:c r="H52" s="30" t="n">
        <x:f>'Transaction Mapping'!F27</x:f>
        <x:v>10000</x:v>
      </x:c>
      <x:c r="I52" s="30" t="n">
        <x:f>'Transaction Mapping'!G27</x:f>
        <x:v>0</x:v>
      </x:c>
      <x:c r="J52" s="23" t="str">
        <x:f>'Transaction Mapping'!P27</x:f>
        <x:v>TRUCK IT IN PVT LTD</x:v>
      </x:c>
      <x:c r="K52" s="23" t="str">
        <x:f>"N/A"</x:f>
        <x:v>N/A</x:v>
      </x:c>
      <x:c r="L52" s="23" t="str">
        <x:f>"Posted"</x:f>
        <x:v>Posted</x:v>
      </x:c>
      <x:c r="M52" s="23" t="str">
        <x:f>'Transaction Mapping'!T27</x:f>
        <x:v>Operating - Payments</x:v>
      </x:c>
      <x:c r="N52" s="24" t="str">
        <x:f>'Transaction Mapping'!V27</x:f>
        <x:v>FS-000008</x:v>
      </x:c>
    </x:row>
    <x:row r="53">
      <x:c r="A53" s="22" t="str">
        <x:f>"JE-026"</x:f>
        <x:v>JE-026</x:v>
      </x:c>
      <x:c r="B53" s="34" t="n">
        <x:f>'Transaction Mapping'!C28</x:f>
        <x:v>45845</x:v>
      </x:c>
      <x:c r="C53" s="23" t="str">
        <x:f>"Bank Statement"</x:f>
        <x:v>Bank Statement</x:v>
      </x:c>
      <x:c r="D53" s="23" t="str">
        <x:f>'Transaction Mapping'!E28</x:f>
        <x:v>B07-001</x:v>
      </x:c>
      <x:c r="E53" s="23" t="str">
        <x:f>'Transaction Mapping'!D28</x:f>
        <x:v>Short-term loan proceeds</x:v>
      </x:c>
      <x:c r="F53" s="23" t="str">
        <x:f>'Transaction Mapping'!K28</x:f>
        <x:v>1028</x:v>
      </x:c>
      <x:c r="G53" s="23" t="str">
        <x:f>'Transaction Mapping'!L28</x:f>
        <x:v>PK49DUIB0000000627075001</x:v>
      </x:c>
      <x:c r="H53" s="30" t="n">
        <x:f>'Transaction Mapping'!G28</x:f>
        <x:v>300000</x:v>
      </x:c>
      <x:c r="I53" s="30" t="n">
        <x:f>'Transaction Mapping'!F28</x:f>
        <x:v>0</x:v>
      </x:c>
      <x:c r="J53" s="23" t="str">
        <x:f>'Transaction Mapping'!P28</x:f>
        <x:v>TRUCK IT IN PVT LTD</x:v>
      </x:c>
      <x:c r="K53" s="23" t="str">
        <x:f>"N/A"</x:f>
        <x:v>N/A</x:v>
      </x:c>
      <x:c r="L53" s="23" t="str">
        <x:f>"Posted"</x:f>
        <x:v>Posted</x:v>
      </x:c>
      <x:c r="M53" s="23" t="str">
        <x:f>'Transaction Mapping'!T28</x:f>
        <x:v>Financing - Receipts</x:v>
      </x:c>
      <x:c r="N53" s="24" t="str">
        <x:f>'Transaction Mapping'!V28</x:f>
        <x:v>FS-000005</x:v>
      </x:c>
    </x:row>
    <x:row r="54">
      <x:c r="A54" s="22" t="str">
        <x:f>"JE-026"</x:f>
        <x:v>JE-026</x:v>
      </x:c>
      <x:c r="B54" s="34" t="n">
        <x:f>'Transaction Mapping'!C28</x:f>
        <x:v>45845</x:v>
      </x:c>
      <x:c r="C54" s="23" t="str">
        <x:f>"Bank Statement"</x:f>
        <x:v>Bank Statement</x:v>
      </x:c>
      <x:c r="D54" s="23" t="str">
        <x:f>'Transaction Mapping'!E28</x:f>
        <x:v>B07-001</x:v>
      </x:c>
      <x:c r="E54" s="23" t="str">
        <x:f>'Transaction Mapping'!D28</x:f>
        <x:v>Short-term loan proceeds</x:v>
      </x:c>
      <x:c r="F54" s="23" t="str">
        <x:f>'Transaction Mapping'!M28</x:f>
        <x:v>1041</x:v>
      </x:c>
      <x:c r="G54" s="23" t="str">
        <x:f>'Transaction Mapping'!N28</x:f>
        <x:v>ABHI</x:v>
      </x:c>
      <x:c r="H54" s="30" t="n">
        <x:f>'Transaction Mapping'!F28</x:f>
        <x:v>0</x:v>
      </x:c>
      <x:c r="I54" s="30" t="n">
        <x:f>'Transaction Mapping'!G28</x:f>
        <x:v>300000</x:v>
      </x:c>
      <x:c r="J54" s="23" t="str">
        <x:f>'Transaction Mapping'!P28</x:f>
        <x:v>TRUCK IT IN PVT LTD</x:v>
      </x:c>
      <x:c r="K54" s="23" t="str">
        <x:f>"N/A"</x:f>
        <x:v>N/A</x:v>
      </x:c>
      <x:c r="L54" s="23" t="str">
        <x:f>"Posted"</x:f>
        <x:v>Posted</x:v>
      </x:c>
      <x:c r="M54" s="23" t="str">
        <x:f>'Transaction Mapping'!T28</x:f>
        <x:v>Financing - Receipts</x:v>
      </x:c>
      <x:c r="N54" s="24" t="str">
        <x:f>'Transaction Mapping'!V28</x:f>
        <x:v>FS-000005</x:v>
      </x:c>
    </x:row>
    <x:row r="55">
      <x:c r="A55" s="22" t="str">
        <x:f>"JE-027"</x:f>
        <x:v>JE-027</x:v>
      </x:c>
      <x:c r="B55" s="34" t="n">
        <x:f>'Transaction Mapping'!C29</x:f>
        <x:v>45846</x:v>
      </x:c>
      <x:c r="C55" s="23" t="str">
        <x:f>"Bank Statement"</x:f>
        <x:v>Bank Statement</x:v>
      </x:c>
      <x:c r="D55" s="23" t="str">
        <x:f>'Transaction Mapping'!E29</x:f>
        <x:v>B07-002</x:v>
      </x:c>
      <x:c r="E55" s="23" t="str">
        <x:f>'Transaction Mapping'!D29</x:f>
        <x:v>Advance income tax payment</x:v>
      </x:c>
      <x:c r="F55" s="23" t="str">
        <x:f>'Transaction Mapping'!K29</x:f>
        <x:v>1028</x:v>
      </x:c>
      <x:c r="G55" s="23" t="str">
        <x:f>'Transaction Mapping'!L29</x:f>
        <x:v>PK49DUIB0000000627075001</x:v>
      </x:c>
      <x:c r="H55" s="30" t="n">
        <x:f>'Transaction Mapping'!G29</x:f>
        <x:v>0</x:v>
      </x:c>
      <x:c r="I55" s="30" t="n">
        <x:f>'Transaction Mapping'!F29</x:f>
        <x:v>70000</x:v>
      </x:c>
      <x:c r="J55" s="23" t="str">
        <x:f>'Transaction Mapping'!P29</x:f>
        <x:v>TRUCK IT IN PVT LTD</x:v>
      </x:c>
      <x:c r="K55" s="23" t="str">
        <x:f>"N/A"</x:f>
        <x:v>N/A</x:v>
      </x:c>
      <x:c r="L55" s="23" t="str">
        <x:f>"Posted"</x:f>
        <x:v>Posted</x:v>
      </x:c>
      <x:c r="M55" s="23" t="str">
        <x:f>'Transaction Mapping'!T29</x:f>
        <x:v>Operating - Payments</x:v>
      </x:c>
      <x:c r="N55" s="24" t="str">
        <x:f>'Transaction Mapping'!V29</x:f>
        <x:v>FS-000017</x:v>
      </x:c>
    </x:row>
    <x:row r="56">
      <x:c r="A56" s="22" t="str">
        <x:f>"JE-027"</x:f>
        <x:v>JE-027</x:v>
      </x:c>
      <x:c r="B56" s="34" t="n">
        <x:f>'Transaction Mapping'!C29</x:f>
        <x:v>45846</x:v>
      </x:c>
      <x:c r="C56" s="23" t="str">
        <x:f>"Bank Statement"</x:f>
        <x:v>Bank Statement</x:v>
      </x:c>
      <x:c r="D56" s="23" t="str">
        <x:f>'Transaction Mapping'!E29</x:f>
        <x:v>B07-002</x:v>
      </x:c>
      <x:c r="E56" s="23" t="str">
        <x:f>'Transaction Mapping'!D29</x:f>
        <x:v>Advance income tax payment</x:v>
      </x:c>
      <x:c r="F56" s="23" t="str">
        <x:f>'Transaction Mapping'!M29</x:f>
        <x:v>1044</x:v>
      </x:c>
      <x:c r="G56" s="23" t="str">
        <x:f>'Transaction Mapping'!N29</x:f>
        <x:v>Advance tax</x:v>
      </x:c>
      <x:c r="H56" s="30" t="n">
        <x:f>'Transaction Mapping'!F29</x:f>
        <x:v>70000</x:v>
      </x:c>
      <x:c r="I56" s="30" t="n">
        <x:f>'Transaction Mapping'!G29</x:f>
        <x:v>0</x:v>
      </x:c>
      <x:c r="J56" s="23" t="str">
        <x:f>'Transaction Mapping'!P29</x:f>
        <x:v>TRUCK IT IN PVT LTD</x:v>
      </x:c>
      <x:c r="K56" s="23" t="str">
        <x:f>"N/A"</x:f>
        <x:v>N/A</x:v>
      </x:c>
      <x:c r="L56" s="23" t="str">
        <x:f>"Posted"</x:f>
        <x:v>Posted</x:v>
      </x:c>
      <x:c r="M56" s="23" t="str">
        <x:f>'Transaction Mapping'!T29</x:f>
        <x:v>Operating - Payments</x:v>
      </x:c>
      <x:c r="N56" s="24" t="str">
        <x:f>'Transaction Mapping'!V29</x:f>
        <x:v>FS-000017</x:v>
      </x:c>
    </x:row>
    <x:row r="57">
      <x:c r="A57" s="22" t="str">
        <x:f>"JE-028"</x:f>
        <x:v>JE-028</x:v>
      </x:c>
      <x:c r="B57" s="34" t="n">
        <x:f>'Transaction Mapping'!C30</x:f>
        <x:v>45847</x:v>
      </x:c>
      <x:c r="C57" s="23" t="str">
        <x:f>"Bank Statement"</x:f>
        <x:v>Bank Statement</x:v>
      </x:c>
      <x:c r="D57" s="23" t="str">
        <x:f>'Transaction Mapping'!E30</x:f>
        <x:v>B07-003</x:v>
      </x:c>
      <x:c r="E57" s="23" t="str">
        <x:f>'Transaction Mapping'!D30</x:f>
        <x:v>Sales tax payment</x:v>
      </x:c>
      <x:c r="F57" s="23" t="str">
        <x:f>'Transaction Mapping'!K30</x:f>
        <x:v>1028</x:v>
      </x:c>
      <x:c r="G57" s="23" t="str">
        <x:f>'Transaction Mapping'!L30</x:f>
        <x:v>PK49DUIB0000000627075001</x:v>
      </x:c>
      <x:c r="H57" s="30" t="n">
        <x:f>'Transaction Mapping'!G30</x:f>
        <x:v>0</x:v>
      </x:c>
      <x:c r="I57" s="30" t="n">
        <x:f>'Transaction Mapping'!F30</x:f>
        <x:v>120000</x:v>
      </x:c>
      <x:c r="J57" s="23" t="str">
        <x:f>'Transaction Mapping'!P30</x:f>
        <x:v>TRUCK IT IN PVT LTD</x:v>
      </x:c>
      <x:c r="K57" s="23" t="str">
        <x:f>"N/A"</x:f>
        <x:v>N/A</x:v>
      </x:c>
      <x:c r="L57" s="23" t="str">
        <x:f>"Posted"</x:f>
        <x:v>Posted</x:v>
      </x:c>
      <x:c r="M57" s="23" t="str">
        <x:f>'Transaction Mapping'!T30</x:f>
        <x:v>Operating - Payments</x:v>
      </x:c>
      <x:c r="N57" s="24" t="str">
        <x:f>'Transaction Mapping'!V30</x:f>
        <x:v>FS-000018</x:v>
      </x:c>
    </x:row>
    <x:row r="58">
      <x:c r="A58" s="22" t="str">
        <x:f>"JE-028"</x:f>
        <x:v>JE-028</x:v>
      </x:c>
      <x:c r="B58" s="34" t="n">
        <x:f>'Transaction Mapping'!C30</x:f>
        <x:v>45847</x:v>
      </x:c>
      <x:c r="C58" s="23" t="str">
        <x:f>"Bank Statement"</x:f>
        <x:v>Bank Statement</x:v>
      </x:c>
      <x:c r="D58" s="23" t="str">
        <x:f>'Transaction Mapping'!E30</x:f>
        <x:v>B07-003</x:v>
      </x:c>
      <x:c r="E58" s="23" t="str">
        <x:f>'Transaction Mapping'!D30</x:f>
        <x:v>Sales tax payment</x:v>
      </x:c>
      <x:c r="F58" s="23" t="str">
        <x:f>'Transaction Mapping'!M30</x:f>
        <x:v>1032</x:v>
      </x:c>
      <x:c r="G58" s="23" t="str">
        <x:f>'Transaction Mapping'!N30</x:f>
        <x:v>Sales Tax Payable</x:v>
      </x:c>
      <x:c r="H58" s="30" t="n">
        <x:f>'Transaction Mapping'!F30</x:f>
        <x:v>120000</x:v>
      </x:c>
      <x:c r="I58" s="30" t="n">
        <x:f>'Transaction Mapping'!G30</x:f>
        <x:v>0</x:v>
      </x:c>
      <x:c r="J58" s="23" t="str">
        <x:f>'Transaction Mapping'!P30</x:f>
        <x:v>TRUCK IT IN PVT LTD</x:v>
      </x:c>
      <x:c r="K58" s="23" t="str">
        <x:f>"N/A"</x:f>
        <x:v>N/A</x:v>
      </x:c>
      <x:c r="L58" s="23" t="str">
        <x:f>"Posted"</x:f>
        <x:v>Posted</x:v>
      </x:c>
      <x:c r="M58" s="23" t="str">
        <x:f>'Transaction Mapping'!T30</x:f>
        <x:v>Operating - Payments</x:v>
      </x:c>
      <x:c r="N58" s="24" t="str">
        <x:f>'Transaction Mapping'!V30</x:f>
        <x:v>FS-000018</x:v>
      </x:c>
    </x:row>
    <x:row r="59">
      <x:c r="A59" s="22" t="str">
        <x:f>"JE-029"</x:f>
        <x:v>JE-029</x:v>
      </x:c>
      <x:c r="B59" s="34" t="n">
        <x:f>'Transaction Mapping'!C31</x:f>
        <x:v>45848</x:v>
      </x:c>
      <x:c r="C59" s="23" t="str">
        <x:f>"Bank Statement"</x:f>
        <x:v>Bank Statement</x:v>
      </x:c>
      <x:c r="D59" s="23" t="str">
        <x:f>'Transaction Mapping'!E31</x:f>
        <x:v>TRF-07-08</x:v>
      </x:c>
      <x:c r="E59" s="23" t="str">
        <x:f>'Transaction Mapping'!D31</x:f>
        <x:v>Transfer to MCB Corporate</x:v>
      </x:c>
      <x:c r="F59" s="23" t="str">
        <x:f>'Transaction Mapping'!K31</x:f>
        <x:v>1028</x:v>
      </x:c>
      <x:c r="G59" s="23" t="str">
        <x:f>'Transaction Mapping'!L31</x:f>
        <x:v>PK49DUIB0000000627075001</x:v>
      </x:c>
      <x:c r="H59" s="30" t="n">
        <x:f>'Transaction Mapping'!G31</x:f>
        <x:v>0</x:v>
      </x:c>
      <x:c r="I59" s="30" t="n">
        <x:f>'Transaction Mapping'!F31</x:f>
        <x:v>200000</x:v>
      </x:c>
      <x:c r="J59" s="23" t="str">
        <x:f>'Transaction Mapping'!P31</x:f>
        <x:v>TRUCK IT IN PVT LTD</x:v>
      </x:c>
      <x:c r="K59" s="23" t="str">
        <x:f>"N/A"</x:f>
        <x:v>N/A</x:v>
      </x:c>
      <x:c r="L59" s="23" t="str">
        <x:f>"Posted"</x:f>
        <x:v>Posted</x:v>
      </x:c>
      <x:c r="M59" s="23" t="str">
        <x:f>'Transaction Mapping'!T31</x:f>
        <x:v>Transfer</x:v>
      </x:c>
      <x:c r="N59" s="24" t="str">
        <x:f>'Transaction Mapping'!V31</x:f>
        <x:v>FS-000020</x:v>
      </x:c>
    </x:row>
    <x:row r="60">
      <x:c r="A60" s="22" t="str">
        <x:f>"JE-029"</x:f>
        <x:v>JE-029</x:v>
      </x:c>
      <x:c r="B60" s="34" t="n">
        <x:f>'Transaction Mapping'!C31</x:f>
        <x:v>45848</x:v>
      </x:c>
      <x:c r="C60" s="23" t="str">
        <x:f>"Bank Statement"</x:f>
        <x:v>Bank Statement</x:v>
      </x:c>
      <x:c r="D60" s="23" t="str">
        <x:f>'Transaction Mapping'!E31</x:f>
        <x:v>TRF-07-08</x:v>
      </x:c>
      <x:c r="E60" s="23" t="str">
        <x:f>'Transaction Mapping'!D31</x:f>
        <x:v>Transfer to MCB Corporate</x:v>
      </x:c>
      <x:c r="F60" s="23" t="str">
        <x:f>'Transaction Mapping'!M31</x:f>
        <x:v>1031</x:v>
      </x:c>
      <x:c r="G60" s="23" t="str">
        <x:f>'Transaction Mapping'!N31</x:f>
        <x:v>PK75MPBL0124067140164610</x:v>
      </x:c>
      <x:c r="H60" s="30" t="n">
        <x:f>'Transaction Mapping'!F31</x:f>
        <x:v>200000</x:v>
      </x:c>
      <x:c r="I60" s="30" t="n">
        <x:f>'Transaction Mapping'!G31</x:f>
        <x:v>0</x:v>
      </x:c>
      <x:c r="J60" s="23" t="str">
        <x:f>'Transaction Mapping'!P31</x:f>
        <x:v>TRUCK IT IN PVT LTD</x:v>
      </x:c>
      <x:c r="K60" s="23" t="str">
        <x:f>"N/A"</x:f>
        <x:v>N/A</x:v>
      </x:c>
      <x:c r="L60" s="23" t="str">
        <x:f>"Posted"</x:f>
        <x:v>Posted</x:v>
      </x:c>
      <x:c r="M60" s="23" t="str">
        <x:f>'Transaction Mapping'!T31</x:f>
        <x:v>Transfer</x:v>
      </x:c>
      <x:c r="N60" s="24" t="str">
        <x:f>'Transaction Mapping'!V31</x:f>
        <x:v>FS-000020</x:v>
      </x:c>
    </x:row>
    <x:row r="61">
      <x:c r="A61" s="22" t="str">
        <x:f>"JE-030"</x:f>
        <x:v>JE-030</x:v>
      </x:c>
      <x:c r="B61" s="34" t="n">
        <x:f>'Transaction Mapping'!C32</x:f>
        <x:v>45846</x:v>
      </x:c>
      <x:c r="C61" s="23" t="str">
        <x:f>"Bank Statement"</x:f>
        <x:v>Bank Statement</x:v>
      </x:c>
      <x:c r="D61" s="23" t="str">
        <x:f>'Transaction Mapping'!E32</x:f>
        <x:v>TRF-07-08</x:v>
      </x:c>
      <x:c r="E61" s="23" t="str">
        <x:f>'Transaction Mapping'!D32</x:f>
        <x:v>Transfer received from UBL Operations</x:v>
      </x:c>
      <x:c r="F61" s="23" t="str">
        <x:f>'Transaction Mapping'!K32</x:f>
        <x:v>1031</x:v>
      </x:c>
      <x:c r="G61" s="23" t="str">
        <x:f>'Transaction Mapping'!L32</x:f>
        <x:v>PK75MPBL0124067140164610</x:v>
      </x:c>
      <x:c r="H61" s="30" t="n">
        <x:f>'Transaction Mapping'!G32</x:f>
        <x:v>200000</x:v>
      </x:c>
      <x:c r="I61" s="30" t="n">
        <x:f>'Transaction Mapping'!F32</x:f>
        <x:v>0</x:v>
      </x:c>
      <x:c r="J61" s="23" t="str">
        <x:f>'Transaction Mapping'!P32</x:f>
        <x:v>TRUCK IT IN PVT LTD</x:v>
      </x:c>
      <x:c r="K61" s="23" t="str">
        <x:f>"N/A"</x:f>
        <x:v>N/A</x:v>
      </x:c>
      <x:c r="L61" s="23" t="str">
        <x:f>"Posted"</x:f>
        <x:v>Posted</x:v>
      </x:c>
      <x:c r="M61" s="23" t="str">
        <x:f>'Transaction Mapping'!T32</x:f>
        <x:v>Transfer</x:v>
      </x:c>
      <x:c r="N61" s="24" t="str">
        <x:f>'Transaction Mapping'!V32</x:f>
        <x:v>FS-000020</x:v>
      </x:c>
    </x:row>
    <x:row r="62">
      <x:c r="A62" s="22" t="str">
        <x:f>"JE-030"</x:f>
        <x:v>JE-030</x:v>
      </x:c>
      <x:c r="B62" s="34" t="n">
        <x:f>'Transaction Mapping'!C32</x:f>
        <x:v>45846</x:v>
      </x:c>
      <x:c r="C62" s="23" t="str">
        <x:f>"Bank Statement"</x:f>
        <x:v>Bank Statement</x:v>
      </x:c>
      <x:c r="D62" s="23" t="str">
        <x:f>'Transaction Mapping'!E32</x:f>
        <x:v>TRF-07-08</x:v>
      </x:c>
      <x:c r="E62" s="23" t="str">
        <x:f>'Transaction Mapping'!D32</x:f>
        <x:v>Transfer received from UBL Operations</x:v>
      </x:c>
      <x:c r="F62" s="23" t="str">
        <x:f>'Transaction Mapping'!M32</x:f>
        <x:v>1028</x:v>
      </x:c>
      <x:c r="G62" s="23" t="str">
        <x:f>'Transaction Mapping'!N32</x:f>
        <x:v>PK49DUIB0000000627075001</x:v>
      </x:c>
      <x:c r="H62" s="30" t="n">
        <x:f>'Transaction Mapping'!F32</x:f>
        <x:v>0</x:v>
      </x:c>
      <x:c r="I62" s="30" t="n">
        <x:f>'Transaction Mapping'!G32</x:f>
        <x:v>200000</x:v>
      </x:c>
      <x:c r="J62" s="23" t="str">
        <x:f>'Transaction Mapping'!P32</x:f>
        <x:v>TRUCK IT IN PVT LTD</x:v>
      </x:c>
      <x:c r="K62" s="23" t="str">
        <x:f>"N/A"</x:f>
        <x:v>N/A</x:v>
      </x:c>
      <x:c r="L62" s="23" t="str">
        <x:f>"Posted"</x:f>
        <x:v>Posted</x:v>
      </x:c>
      <x:c r="M62" s="23" t="str">
        <x:f>'Transaction Mapping'!T32</x:f>
        <x:v>Transfer</x:v>
      </x:c>
      <x:c r="N62" s="24" t="str">
        <x:f>'Transaction Mapping'!V32</x:f>
        <x:v>FS-000020</x:v>
      </x:c>
    </x:row>
    <x:row r="63">
      <x:c r="A63" s="22" t="str">
        <x:f>"JE-031"</x:f>
        <x:v>JE-031</x:v>
      </x:c>
      <x:c r="B63" s="34" t="n">
        <x:f>'Transaction Mapping'!C33</x:f>
        <x:v>45847</x:v>
      </x:c>
      <x:c r="C63" s="23" t="str">
        <x:f>"Bank Statement"</x:f>
        <x:v>Bank Statement</x:v>
      </x:c>
      <x:c r="D63" s="23" t="str">
        <x:f>'Transaction Mapping'!E33</x:f>
        <x:v>B08-002</x:v>
      </x:c>
      <x:c r="E63" s="23" t="str">
        <x:f>'Transaction Mapping'!D33</x:f>
        <x:v>Holdco capital contribution</x:v>
      </x:c>
      <x:c r="F63" s="23" t="str">
        <x:f>'Transaction Mapping'!K33</x:f>
        <x:v>1031</x:v>
      </x:c>
      <x:c r="G63" s="23" t="str">
        <x:f>'Transaction Mapping'!L33</x:f>
        <x:v>PK75MPBL0124067140164610</x:v>
      </x:c>
      <x:c r="H63" s="30" t="n">
        <x:f>'Transaction Mapping'!G33</x:f>
        <x:v>200000</x:v>
      </x:c>
      <x:c r="I63" s="30" t="n">
        <x:f>'Transaction Mapping'!F33</x:f>
        <x:v>0</x:v>
      </x:c>
      <x:c r="J63" s="23" t="str">
        <x:f>'Transaction Mapping'!P33</x:f>
        <x:v>TRUCK IT IN PVT LTD</x:v>
      </x:c>
      <x:c r="K63" s="23" t="str">
        <x:f>"N/A"</x:f>
        <x:v>N/A</x:v>
      </x:c>
      <x:c r="L63" s="23" t="str">
        <x:f>"Posted"</x:f>
        <x:v>Posted</x:v>
      </x:c>
      <x:c r="M63" s="23" t="str">
        <x:f>'Transaction Mapping'!T33</x:f>
        <x:v>Financing - Receipts</x:v>
      </x:c>
      <x:c r="N63" s="24" t="str">
        <x:f>'Transaction Mapping'!V33</x:f>
        <x:v>FS-000004</x:v>
      </x:c>
    </x:row>
    <x:row r="64">
      <x:c r="A64" s="22" t="str">
        <x:f>"JE-031"</x:f>
        <x:v>JE-031</x:v>
      </x:c>
      <x:c r="B64" s="34" t="n">
        <x:f>'Transaction Mapping'!C33</x:f>
        <x:v>45847</x:v>
      </x:c>
      <x:c r="C64" s="23" t="str">
        <x:f>"Bank Statement"</x:f>
        <x:v>Bank Statement</x:v>
      </x:c>
      <x:c r="D64" s="23" t="str">
        <x:f>'Transaction Mapping'!E33</x:f>
        <x:v>B08-002</x:v>
      </x:c>
      <x:c r="E64" s="23" t="str">
        <x:f>'Transaction Mapping'!D33</x:f>
        <x:v>Holdco capital contribution</x:v>
      </x:c>
      <x:c r="F64" s="23" t="str">
        <x:f>'Transaction Mapping'!M33</x:f>
        <x:v>1037</x:v>
      </x:c>
      <x:c r="G64" s="23" t="str">
        <x:f>'Transaction Mapping'!N33</x:f>
        <x:v>Advance against issue of shares</x:v>
      </x:c>
      <x:c r="H64" s="30" t="n">
        <x:f>'Transaction Mapping'!F33</x:f>
        <x:v>0</x:v>
      </x:c>
      <x:c r="I64" s="30" t="n">
        <x:f>'Transaction Mapping'!G33</x:f>
        <x:v>200000</x:v>
      </x:c>
      <x:c r="J64" s="23" t="str">
        <x:f>'Transaction Mapping'!P33</x:f>
        <x:v>TRUCK IT IN PVT LTD</x:v>
      </x:c>
      <x:c r="K64" s="23" t="str">
        <x:f>"N/A"</x:f>
        <x:v>N/A</x:v>
      </x:c>
      <x:c r="L64" s="23" t="str">
        <x:f>"Posted"</x:f>
        <x:v>Posted</x:v>
      </x:c>
      <x:c r="M64" s="23" t="str">
        <x:f>'Transaction Mapping'!T33</x:f>
        <x:v>Financing - Receipts</x:v>
      </x:c>
      <x:c r="N64" s="24" t="str">
        <x:f>'Transaction Mapping'!V33</x:f>
        <x:v>FS-000004</x:v>
      </x:c>
    </x:row>
    <x:row r="65">
      <x:c r="A65" s="22" t="str">
        <x:f>"JE-032"</x:f>
        <x:v>JE-032</x:v>
      </x:c>
      <x:c r="B65" s="34" t="n">
        <x:f>'Transaction Mapping'!C34</x:f>
        <x:v>45848</x:v>
      </x:c>
      <x:c r="C65" s="23" t="str">
        <x:f>"Bank Statement"</x:f>
        <x:v>Bank Statement</x:v>
      </x:c>
      <x:c r="D65" s="23" t="str">
        <x:f>'Transaction Mapping'!E34</x:f>
        <x:v>B08-003</x:v>
      </x:c>
      <x:c r="E65" s="23" t="str">
        <x:f>'Transaction Mapping'!D34</x:f>
        <x:v>Intercompany settlement payment</x:v>
      </x:c>
      <x:c r="F65" s="23" t="str">
        <x:f>'Transaction Mapping'!K34</x:f>
        <x:v>1031</x:v>
      </x:c>
      <x:c r="G65" s="23" t="str">
        <x:f>'Transaction Mapping'!L34</x:f>
        <x:v>PK75MPBL0124067140164610</x:v>
      </x:c>
      <x:c r="H65" s="30" t="n">
        <x:f>'Transaction Mapping'!G34</x:f>
        <x:v>0</x:v>
      </x:c>
      <x:c r="I65" s="30" t="n">
        <x:f>'Transaction Mapping'!F34</x:f>
        <x:v>150000</x:v>
      </x:c>
      <x:c r="J65" s="23" t="str">
        <x:f>'Transaction Mapping'!P34</x:f>
        <x:v>TRUCK IT IN PVT LTD</x:v>
      </x:c>
      <x:c r="K65" s="23" t="str">
        <x:f>"N/A"</x:f>
        <x:v>N/A</x:v>
      </x:c>
      <x:c r="L65" s="23" t="str">
        <x:f>"Posted"</x:f>
        <x:v>Posted</x:v>
      </x:c>
      <x:c r="M65" s="23" t="str">
        <x:f>'Transaction Mapping'!T34</x:f>
        <x:v>Financing - Payments</x:v>
      </x:c>
      <x:c r="N65" s="24" t="str">
        <x:f>'Transaction Mapping'!V34</x:f>
        <x:v>FS-000001</x:v>
      </x:c>
    </x:row>
    <x:row r="66">
      <x:c r="A66" s="22" t="str">
        <x:f>"JE-032"</x:f>
        <x:v>JE-032</x:v>
      </x:c>
      <x:c r="B66" s="34" t="n">
        <x:f>'Transaction Mapping'!C34</x:f>
        <x:v>45848</x:v>
      </x:c>
      <x:c r="C66" s="23" t="str">
        <x:f>"Bank Statement"</x:f>
        <x:v>Bank Statement</x:v>
      </x:c>
      <x:c r="D66" s="23" t="str">
        <x:f>'Transaction Mapping'!E34</x:f>
        <x:v>B08-003</x:v>
      </x:c>
      <x:c r="E66" s="23" t="str">
        <x:f>'Transaction Mapping'!D34</x:f>
        <x:v>Intercompany settlement payment</x:v>
      </x:c>
      <x:c r="F66" s="23" t="str">
        <x:f>'Transaction Mapping'!M34</x:f>
        <x:v>1041</x:v>
      </x:c>
      <x:c r="G66" s="23" t="str">
        <x:f>'Transaction Mapping'!N34</x:f>
        <x:v>ABHI</x:v>
      </x:c>
      <x:c r="H66" s="30" t="n">
        <x:f>'Transaction Mapping'!F34</x:f>
        <x:v>150000</x:v>
      </x:c>
      <x:c r="I66" s="30" t="n">
        <x:f>'Transaction Mapping'!G34</x:f>
        <x:v>0</x:v>
      </x:c>
      <x:c r="J66" s="23" t="str">
        <x:f>'Transaction Mapping'!P34</x:f>
        <x:v>TRUCK IT IN PVT LTD</x:v>
      </x:c>
      <x:c r="K66" s="23" t="str">
        <x:f>"N/A"</x:f>
        <x:v>N/A</x:v>
      </x:c>
      <x:c r="L66" s="23" t="str">
        <x:f>"Posted"</x:f>
        <x:v>Posted</x:v>
      </x:c>
      <x:c r="M66" s="23" t="str">
        <x:f>'Transaction Mapping'!T34</x:f>
        <x:v>Financing - Payments</x:v>
      </x:c>
      <x:c r="N66" s="24" t="str">
        <x:f>'Transaction Mapping'!V34</x:f>
        <x:v>FS-000001</x:v>
      </x:c>
    </x:row>
    <x:row r="67">
      <x:c r="A67" s="22" t="str">
        <x:f>"JE-033"</x:f>
        <x:v>JE-033</x:v>
      </x:c>
      <x:c r="B67" s="34" t="n">
        <x:f>'Transaction Mapping'!C35</x:f>
        <x:v>45847</x:v>
      </x:c>
      <x:c r="C67" s="23" t="str">
        <x:f>"Bank Statement"</x:f>
        <x:v>Bank Statement</x:v>
      </x:c>
      <x:c r="D67" s="23" t="str">
        <x:f>'Transaction Mapping'!E35</x:f>
        <x:v>B09-001</x:v>
      </x:c>
      <x:c r="E67" s="23" t="str">
        <x:f>'Transaction Mapping'!D35</x:f>
        <x:v>Customer collection — reserve account</x:v>
      </x:c>
      <x:c r="F67" s="23" t="str">
        <x:f>'Transaction Mapping'!K35</x:f>
        <x:v>1029</x:v>
      </x:c>
      <x:c r="G67" s="23" t="str">
        <x:f>'Transaction Mapping'!L35</x:f>
        <x:v>PK55HABB0022827200508103</x:v>
      </x:c>
      <x:c r="H67" s="30" t="n">
        <x:f>'Transaction Mapping'!G35</x:f>
        <x:v>500000</x:v>
      </x:c>
      <x:c r="I67" s="30" t="n">
        <x:f>'Transaction Mapping'!F35</x:f>
        <x:v>0</x:v>
      </x:c>
      <x:c r="J67" s="23" t="str">
        <x:f>'Transaction Mapping'!P35</x:f>
        <x:v>TRUCK IT IN PVT LTD</x:v>
      </x:c>
      <x:c r="K67" s="23" t="str">
        <x:f>"N/A"</x:f>
        <x:v>N/A</x:v>
      </x:c>
      <x:c r="L67" s="23" t="str">
        <x:f>"Posted"</x:f>
        <x:v>Posted</x:v>
      </x:c>
      <x:c r="M67" s="23" t="str">
        <x:f>'Transaction Mapping'!T35</x:f>
        <x:v>Operating - Receipts</x:v>
      </x:c>
      <x:c r="N67" s="24" t="str">
        <x:f>'Transaction Mapping'!V35</x:f>
        <x:v>FS-000022</x:v>
      </x:c>
    </x:row>
    <x:row r="68">
      <x:c r="A68" s="22" t="str">
        <x:f>"JE-033"</x:f>
        <x:v>JE-033</x:v>
      </x:c>
      <x:c r="B68" s="34" t="n">
        <x:f>'Transaction Mapping'!C35</x:f>
        <x:v>45847</x:v>
      </x:c>
      <x:c r="C68" s="23" t="str">
        <x:f>"Bank Statement"</x:f>
        <x:v>Bank Statement</x:v>
      </x:c>
      <x:c r="D68" s="23" t="str">
        <x:f>'Transaction Mapping'!E35</x:f>
        <x:v>B09-001</x:v>
      </x:c>
      <x:c r="E68" s="23" t="str">
        <x:f>'Transaction Mapping'!D35</x:f>
        <x:v>Customer collection — reserve account</x:v>
      </x:c>
      <x:c r="F68" s="23" t="str">
        <x:f>'Transaction Mapping'!M35</x:f>
        <x:v>1050</x:v>
      </x:c>
      <x:c r="G68" s="23" t="str">
        <x:f>'Transaction Mapping'!N35</x:f>
        <x:v>Sales revenue</x:v>
      </x:c>
      <x:c r="H68" s="30" t="n">
        <x:f>'Transaction Mapping'!F35</x:f>
        <x:v>0</x:v>
      </x:c>
      <x:c r="I68" s="30" t="n">
        <x:f>'Transaction Mapping'!G35</x:f>
        <x:v>500000</x:v>
      </x:c>
      <x:c r="J68" s="23" t="str">
        <x:f>'Transaction Mapping'!P35</x:f>
        <x:v>TRUCK IT IN PVT LTD</x:v>
      </x:c>
      <x:c r="K68" s="23" t="str">
        <x:f>"N/A"</x:f>
        <x:v>N/A</x:v>
      </x:c>
      <x:c r="L68" s="23" t="str">
        <x:f>"Posted"</x:f>
        <x:v>Posted</x:v>
      </x:c>
      <x:c r="M68" s="23" t="str">
        <x:f>'Transaction Mapping'!T35</x:f>
        <x:v>Operating - Receipts</x:v>
      </x:c>
      <x:c r="N68" s="24" t="str">
        <x:f>'Transaction Mapping'!V35</x:f>
        <x:v>FS-000022</x:v>
      </x:c>
    </x:row>
    <x:row r="69">
      <x:c r="A69" s="22" t="str">
        <x:f>"JE-034"</x:f>
        <x:v>JE-034</x:v>
      </x:c>
      <x:c r="B69" s="34" t="n">
        <x:f>'Transaction Mapping'!C36</x:f>
        <x:v>45848</x:v>
      </x:c>
      <x:c r="C69" s="23" t="str">
        <x:f>"Bank Statement"</x:f>
        <x:v>Bank Statement</x:v>
      </x:c>
      <x:c r="D69" s="23" t="str">
        <x:f>'Transaction Mapping'!E36</x:f>
        <x:v>B09-002</x:v>
      </x:c>
      <x:c r="E69" s="23" t="str">
        <x:f>'Transaction Mapping'!D36</x:f>
        <x:v>Partners margin settlement</x:v>
      </x:c>
      <x:c r="F69" s="23" t="str">
        <x:f>'Transaction Mapping'!K36</x:f>
        <x:v>1029</x:v>
      </x:c>
      <x:c r="G69" s="23" t="str">
        <x:f>'Transaction Mapping'!L36</x:f>
        <x:v>PK55HABB0022827200508103</x:v>
      </x:c>
      <x:c r="H69" s="30" t="n">
        <x:f>'Transaction Mapping'!G36</x:f>
        <x:v>0</x:v>
      </x:c>
      <x:c r="I69" s="30" t="n">
        <x:f>'Transaction Mapping'!F36</x:f>
        <x:v>100000</x:v>
      </x:c>
      <x:c r="J69" s="23" t="str">
        <x:f>'Transaction Mapping'!P36</x:f>
        <x:v>TRUCK IT IN PVT LTD</x:v>
      </x:c>
      <x:c r="K69" s="23" t="str">
        <x:f>"N/A"</x:f>
        <x:v>N/A</x:v>
      </x:c>
      <x:c r="L69" s="23" t="str">
        <x:f>"Posted"</x:f>
        <x:v>Posted</x:v>
      </x:c>
      <x:c r="M69" s="23" t="str">
        <x:f>'Transaction Mapping'!T36</x:f>
        <x:v>Operating - Payments</x:v>
      </x:c>
      <x:c r="N69" s="24" t="str">
        <x:f>'Transaction Mapping'!V36</x:f>
        <x:v>FS-000009</x:v>
      </x:c>
    </x:row>
    <x:row r="70">
      <x:c r="A70" s="22" t="str">
        <x:f>"JE-034"</x:f>
        <x:v>JE-034</x:v>
      </x:c>
      <x:c r="B70" s="34" t="n">
        <x:f>'Transaction Mapping'!C36</x:f>
        <x:v>45848</x:v>
      </x:c>
      <x:c r="C70" s="23" t="str">
        <x:f>"Bank Statement"</x:f>
        <x:v>Bank Statement</x:v>
      </x:c>
      <x:c r="D70" s="23" t="str">
        <x:f>'Transaction Mapping'!E36</x:f>
        <x:v>B09-002</x:v>
      </x:c>
      <x:c r="E70" s="23" t="str">
        <x:f>'Transaction Mapping'!D36</x:f>
        <x:v>Partners margin settlement</x:v>
      </x:c>
      <x:c r="F70" s="23" t="str">
        <x:f>'Transaction Mapping'!M36</x:f>
        <x:v>1068</x:v>
      </x:c>
      <x:c r="G70" s="23" t="str">
        <x:f>'Transaction Mapping'!N36</x:f>
        <x:v>Other Expenses</x:v>
      </x:c>
      <x:c r="H70" s="30" t="n">
        <x:f>'Transaction Mapping'!F36</x:f>
        <x:v>100000</x:v>
      </x:c>
      <x:c r="I70" s="30" t="n">
        <x:f>'Transaction Mapping'!G36</x:f>
        <x:v>0</x:v>
      </x:c>
      <x:c r="J70" s="23" t="str">
        <x:f>'Transaction Mapping'!P36</x:f>
        <x:v>TRUCK IT IN PVT LTD</x:v>
      </x:c>
      <x:c r="K70" s="23" t="str">
        <x:f>"N/A"</x:f>
        <x:v>N/A</x:v>
      </x:c>
      <x:c r="L70" s="23" t="str">
        <x:f>"Posted"</x:f>
        <x:v>Posted</x:v>
      </x:c>
      <x:c r="M70" s="23" t="str">
        <x:f>'Transaction Mapping'!T36</x:f>
        <x:v>Operating - Payments</x:v>
      </x:c>
      <x:c r="N70" s="24" t="str">
        <x:f>'Transaction Mapping'!V36</x:f>
        <x:v>FS-000009</x:v>
      </x:c>
    </x:row>
    <x:row r="71">
      <x:c r="A71" s="22" t="str">
        <x:f>"JE-035"</x:f>
        <x:v>JE-035</x:v>
      </x:c>
      <x:c r="B71" s="34" t="n">
        <x:f>'Transaction Mapping'!C37</x:f>
        <x:v>45849</x:v>
      </x:c>
      <x:c r="C71" s="23" t="str">
        <x:f>"Bank Statement"</x:f>
        <x:v>Bank Statement</x:v>
      </x:c>
      <x:c r="D71" s="23" t="str">
        <x:f>'Transaction Mapping'!E37</x:f>
        <x:v>B09-003</x:v>
      </x:c>
      <x:c r="E71" s="23" t="str">
        <x:f>'Transaction Mapping'!D37</x:f>
        <x:v>Petty cash withdrawal</x:v>
      </x:c>
      <x:c r="F71" s="23" t="str">
        <x:f>'Transaction Mapping'!K37</x:f>
        <x:v>1029</x:v>
      </x:c>
      <x:c r="G71" s="23" t="str">
        <x:f>'Transaction Mapping'!L37</x:f>
        <x:v>PK55HABB0022827200508103</x:v>
      </x:c>
      <x:c r="H71" s="30" t="n">
        <x:f>'Transaction Mapping'!G37</x:f>
        <x:v>0</x:v>
      </x:c>
      <x:c r="I71" s="30" t="n">
        <x:f>'Transaction Mapping'!F37</x:f>
        <x:v>30000</x:v>
      </x:c>
      <x:c r="J71" s="23" t="str">
        <x:f>'Transaction Mapping'!P37</x:f>
        <x:v>TRUCK IT IN PVT LTD</x:v>
      </x:c>
      <x:c r="K71" s="23" t="str">
        <x:f>"N/A"</x:f>
        <x:v>N/A</x:v>
      </x:c>
      <x:c r="L71" s="23" t="str">
        <x:f>"Posted"</x:f>
        <x:v>Posted</x:v>
      </x:c>
      <x:c r="M71" s="23" t="str">
        <x:f>'Transaction Mapping'!T37</x:f>
        <x:v>Operating - Payments</x:v>
      </x:c>
      <x:c r="N71" s="24" t="str">
        <x:f>'Transaction Mapping'!V37</x:f>
        <x:v>FS-000024</x:v>
      </x:c>
    </x:row>
    <x:row r="72">
      <x:c r="A72" s="22" t="str">
        <x:f>"JE-035"</x:f>
        <x:v>JE-035</x:v>
      </x:c>
      <x:c r="B72" s="34" t="n">
        <x:f>'Transaction Mapping'!C37</x:f>
        <x:v>45849</x:v>
      </x:c>
      <x:c r="C72" s="23" t="str">
        <x:f>"Bank Statement"</x:f>
        <x:v>Bank Statement</x:v>
      </x:c>
      <x:c r="D72" s="23" t="str">
        <x:f>'Transaction Mapping'!E37</x:f>
        <x:v>B09-003</x:v>
      </x:c>
      <x:c r="E72" s="23" t="str">
        <x:f>'Transaction Mapping'!D37</x:f>
        <x:v>Petty cash withdrawal</x:v>
      </x:c>
      <x:c r="F72" s="23" t="str">
        <x:f>'Transaction Mapping'!M37</x:f>
        <x:v>1068</x:v>
      </x:c>
      <x:c r="G72" s="23" t="str">
        <x:f>'Transaction Mapping'!N37</x:f>
        <x:v>Other Expenses</x:v>
      </x:c>
      <x:c r="H72" s="30" t="n">
        <x:f>'Transaction Mapping'!F37</x:f>
        <x:v>30000</x:v>
      </x:c>
      <x:c r="I72" s="30" t="n">
        <x:f>'Transaction Mapping'!G37</x:f>
        <x:v>0</x:v>
      </x:c>
      <x:c r="J72" s="23" t="str">
        <x:f>'Transaction Mapping'!P37</x:f>
        <x:v>TRUCK IT IN PVT LTD</x:v>
      </x:c>
      <x:c r="K72" s="23" t="str">
        <x:f>"N/A"</x:f>
        <x:v>N/A</x:v>
      </x:c>
      <x:c r="L72" s="23" t="str">
        <x:f>"Posted"</x:f>
        <x:v>Posted</x:v>
      </x:c>
      <x:c r="M72" s="23" t="str">
        <x:f>'Transaction Mapping'!T37</x:f>
        <x:v>Operating - Payments</x:v>
      </x:c>
      <x:c r="N72" s="24" t="str">
        <x:f>'Transaction Mapping'!V37</x:f>
        <x:v>FS-000024</x:v>
      </x:c>
    </x:row>
    <x:row r="73">
      <x:c r="A73" s="22" t="str">
        <x:f>"JE-036"</x:f>
        <x:v>JE-036</x:v>
      </x:c>
      <x:c r="B73" s="34" t="n">
        <x:f>'Transaction Mapping'!C38</x:f>
        <x:v>45850</x:v>
      </x:c>
      <x:c r="C73" s="23" t="str">
        <x:f>"Bank Statement"</x:f>
        <x:v>Bank Statement</x:v>
      </x:c>
      <x:c r="D73" s="23" t="str">
        <x:f>'Transaction Mapping'!E38</x:f>
        <x:v>TRF-09-10</x:v>
      </x:c>
      <x:c r="E73" s="23" t="str">
        <x:f>'Transaction Mapping'!D38</x:f>
        <x:v>Transfer to HBL Digital</x:v>
      </x:c>
      <x:c r="F73" s="23" t="str">
        <x:f>'Transaction Mapping'!K38</x:f>
        <x:v>1029</x:v>
      </x:c>
      <x:c r="G73" s="23" t="str">
        <x:f>'Transaction Mapping'!L38</x:f>
        <x:v>PK55HABB0022827200508103</x:v>
      </x:c>
      <x:c r="H73" s="30" t="n">
        <x:f>'Transaction Mapping'!G38</x:f>
        <x:v>0</x:v>
      </x:c>
      <x:c r="I73" s="30" t="n">
        <x:f>'Transaction Mapping'!F38</x:f>
        <x:v>100000</x:v>
      </x:c>
      <x:c r="J73" s="23" t="str">
        <x:f>'Transaction Mapping'!P38</x:f>
        <x:v>TRUCK IT IN PVT LTD</x:v>
      </x:c>
      <x:c r="K73" s="23" t="str">
        <x:f>"N/A"</x:f>
        <x:v>N/A</x:v>
      </x:c>
      <x:c r="L73" s="23" t="str">
        <x:f>"Posted"</x:f>
        <x:v>Posted</x:v>
      </x:c>
      <x:c r="M73" s="23" t="str">
        <x:f>'Transaction Mapping'!T38</x:f>
        <x:v>Transfer</x:v>
      </x:c>
      <x:c r="N73" s="24" t="str">
        <x:f>'Transaction Mapping'!V38</x:f>
        <x:v>FS-000020</x:v>
      </x:c>
    </x:row>
    <x:row r="74">
      <x:c r="A74" s="22" t="str">
        <x:f>"JE-036"</x:f>
        <x:v>JE-036</x:v>
      </x:c>
      <x:c r="B74" s="34" t="n">
        <x:f>'Transaction Mapping'!C38</x:f>
        <x:v>45850</x:v>
      </x:c>
      <x:c r="C74" s="23" t="str">
        <x:f>"Bank Statement"</x:f>
        <x:v>Bank Statement</x:v>
      </x:c>
      <x:c r="D74" s="23" t="str">
        <x:f>'Transaction Mapping'!E38</x:f>
        <x:v>TRF-09-10</x:v>
      </x:c>
      <x:c r="E74" s="23" t="str">
        <x:f>'Transaction Mapping'!D38</x:f>
        <x:v>Transfer to HBL Digital</x:v>
      </x:c>
      <x:c r="F74" s="23" t="str">
        <x:f>'Transaction Mapping'!M38</x:f>
        <x:v>1029</x:v>
      </x:c>
      <x:c r="G74" s="23" t="str">
        <x:f>'Transaction Mapping'!N38</x:f>
        <x:v>PK55HABB0022827200508103</x:v>
      </x:c>
      <x:c r="H74" s="30" t="n">
        <x:f>'Transaction Mapping'!F38</x:f>
        <x:v>100000</x:v>
      </x:c>
      <x:c r="I74" s="30" t="n">
        <x:f>'Transaction Mapping'!G38</x:f>
        <x:v>0</x:v>
      </x:c>
      <x:c r="J74" s="23" t="str">
        <x:f>'Transaction Mapping'!P38</x:f>
        <x:v>TRUCK IT IN PVT LTD</x:v>
      </x:c>
      <x:c r="K74" s="23" t="str">
        <x:f>"N/A"</x:f>
        <x:v>N/A</x:v>
      </x:c>
      <x:c r="L74" s="23" t="str">
        <x:f>"Posted"</x:f>
        <x:v>Posted</x:v>
      </x:c>
      <x:c r="M74" s="23" t="str">
        <x:f>'Transaction Mapping'!T38</x:f>
        <x:v>Transfer</x:v>
      </x:c>
      <x:c r="N74" s="24" t="str">
        <x:f>'Transaction Mapping'!V38</x:f>
        <x:v>FS-000020</x:v>
      </x:c>
    </x:row>
    <x:row r="75">
      <x:c r="A75" s="22" t="str">
        <x:f>"JE-037"</x:f>
        <x:v>JE-037</x:v>
      </x:c>
      <x:c r="B75" s="34" t="n">
        <x:f>'Transaction Mapping'!C39</x:f>
        <x:v>45848</x:v>
      </x:c>
      <x:c r="C75" s="23" t="str">
        <x:f>"Bank Statement"</x:f>
        <x:v>Bank Statement</x:v>
      </x:c>
      <x:c r="D75" s="23" t="str">
        <x:f>'Transaction Mapping'!E39</x:f>
        <x:v>TRF-09-10</x:v>
      </x:c>
      <x:c r="E75" s="23" t="str">
        <x:f>'Transaction Mapping'!D39</x:f>
        <x:v>Transfer received from HBL Reserve</x:v>
      </x:c>
      <x:c r="F75" s="23" t="str">
        <x:f>'Transaction Mapping'!K39</x:f>
        <x:v>1029</x:v>
      </x:c>
      <x:c r="G75" s="23" t="str">
        <x:f>'Transaction Mapping'!L39</x:f>
        <x:v>PK55HABB0022827200508103</x:v>
      </x:c>
      <x:c r="H75" s="30" t="n">
        <x:f>'Transaction Mapping'!G39</x:f>
        <x:v>100000</x:v>
      </x:c>
      <x:c r="I75" s="30" t="n">
        <x:f>'Transaction Mapping'!F39</x:f>
        <x:v>0</x:v>
      </x:c>
      <x:c r="J75" s="23" t="str">
        <x:f>'Transaction Mapping'!P39</x:f>
        <x:v>TRUCK IT IN PVT LTD</x:v>
      </x:c>
      <x:c r="K75" s="23" t="str">
        <x:f>"N/A"</x:f>
        <x:v>N/A</x:v>
      </x:c>
      <x:c r="L75" s="23" t="str">
        <x:f>"Posted"</x:f>
        <x:v>Posted</x:v>
      </x:c>
      <x:c r="M75" s="23" t="str">
        <x:f>'Transaction Mapping'!T39</x:f>
        <x:v>Transfer</x:v>
      </x:c>
      <x:c r="N75" s="24" t="str">
        <x:f>'Transaction Mapping'!V39</x:f>
        <x:v>FS-000020</x:v>
      </x:c>
    </x:row>
    <x:row r="76">
      <x:c r="A76" s="22" t="str">
        <x:f>"JE-037"</x:f>
        <x:v>JE-037</x:v>
      </x:c>
      <x:c r="B76" s="34" t="n">
        <x:f>'Transaction Mapping'!C39</x:f>
        <x:v>45848</x:v>
      </x:c>
      <x:c r="C76" s="23" t="str">
        <x:f>"Bank Statement"</x:f>
        <x:v>Bank Statement</x:v>
      </x:c>
      <x:c r="D76" s="23" t="str">
        <x:f>'Transaction Mapping'!E39</x:f>
        <x:v>TRF-09-10</x:v>
      </x:c>
      <x:c r="E76" s="23" t="str">
        <x:f>'Transaction Mapping'!D39</x:f>
        <x:v>Transfer received from HBL Reserve</x:v>
      </x:c>
      <x:c r="F76" s="23" t="str">
        <x:f>'Transaction Mapping'!M39</x:f>
        <x:v>1029</x:v>
      </x:c>
      <x:c r="G76" s="23" t="str">
        <x:f>'Transaction Mapping'!N39</x:f>
        <x:v>PK55HABB0022827200508103</x:v>
      </x:c>
      <x:c r="H76" s="30" t="n">
        <x:f>'Transaction Mapping'!F39</x:f>
        <x:v>0</x:v>
      </x:c>
      <x:c r="I76" s="30" t="n">
        <x:f>'Transaction Mapping'!G39</x:f>
        <x:v>100000</x:v>
      </x:c>
      <x:c r="J76" s="23" t="str">
        <x:f>'Transaction Mapping'!P39</x:f>
        <x:v>TRUCK IT IN PVT LTD</x:v>
      </x:c>
      <x:c r="K76" s="23" t="str">
        <x:f>"N/A"</x:f>
        <x:v>N/A</x:v>
      </x:c>
      <x:c r="L76" s="23" t="str">
        <x:f>"Posted"</x:f>
        <x:v>Posted</x:v>
      </x:c>
      <x:c r="M76" s="23" t="str">
        <x:f>'Transaction Mapping'!T39</x:f>
        <x:v>Transfer</x:v>
      </x:c>
      <x:c r="N76" s="24" t="str">
        <x:f>'Transaction Mapping'!V39</x:f>
        <x:v>FS-000020</x:v>
      </x:c>
    </x:row>
    <x:row r="77">
      <x:c r="A77" s="22" t="str">
        <x:f>"JE-038"</x:f>
        <x:v>JE-038</x:v>
      </x:c>
      <x:c r="B77" s="34" t="n">
        <x:f>'Transaction Mapping'!C40</x:f>
        <x:v>45849</x:v>
      </x:c>
      <x:c r="C77" s="23" t="str">
        <x:f>"Bank Statement"</x:f>
        <x:v>Bank Statement</x:v>
      </x:c>
      <x:c r="D77" s="23" t="str">
        <x:f>'Transaction Mapping'!E40</x:f>
        <x:v>B10-002</x:v>
      </x:c>
      <x:c r="E77" s="23" t="str">
        <x:f>'Transaction Mapping'!D40</x:f>
        <x:v>Customer collection — digital wallet</x:v>
      </x:c>
      <x:c r="F77" s="23" t="str">
        <x:f>'Transaction Mapping'!K40</x:f>
        <x:v>1029</x:v>
      </x:c>
      <x:c r="G77" s="23" t="str">
        <x:f>'Transaction Mapping'!L40</x:f>
        <x:v>PK55HABB0022827200508103</x:v>
      </x:c>
      <x:c r="H77" s="30" t="n">
        <x:f>'Transaction Mapping'!G40</x:f>
        <x:v>200000</x:v>
      </x:c>
      <x:c r="I77" s="30" t="n">
        <x:f>'Transaction Mapping'!F40</x:f>
        <x:v>0</x:v>
      </x:c>
      <x:c r="J77" s="23" t="str">
        <x:f>'Transaction Mapping'!P40</x:f>
        <x:v>TRUCK IT IN PVT LTD</x:v>
      </x:c>
      <x:c r="K77" s="23" t="str">
        <x:f>"N/A"</x:f>
        <x:v>N/A</x:v>
      </x:c>
      <x:c r="L77" s="23" t="str">
        <x:f>"Posted"</x:f>
        <x:v>Posted</x:v>
      </x:c>
      <x:c r="M77" s="23" t="str">
        <x:f>'Transaction Mapping'!T40</x:f>
        <x:v>Operating - Receipts</x:v>
      </x:c>
      <x:c r="N77" s="24" t="str">
        <x:f>'Transaction Mapping'!V40</x:f>
        <x:v>FS-000022</x:v>
      </x:c>
    </x:row>
    <x:row r="78">
      <x:c r="A78" s="22" t="str">
        <x:f>"JE-038"</x:f>
        <x:v>JE-038</x:v>
      </x:c>
      <x:c r="B78" s="34" t="n">
        <x:f>'Transaction Mapping'!C40</x:f>
        <x:v>45849</x:v>
      </x:c>
      <x:c r="C78" s="23" t="str">
        <x:f>"Bank Statement"</x:f>
        <x:v>Bank Statement</x:v>
      </x:c>
      <x:c r="D78" s="23" t="str">
        <x:f>'Transaction Mapping'!E40</x:f>
        <x:v>B10-002</x:v>
      </x:c>
      <x:c r="E78" s="23" t="str">
        <x:f>'Transaction Mapping'!D40</x:f>
        <x:v>Customer collection — digital wallet</x:v>
      </x:c>
      <x:c r="F78" s="23" t="str">
        <x:f>'Transaction Mapping'!M40</x:f>
        <x:v>1050</x:v>
      </x:c>
      <x:c r="G78" s="23" t="str">
        <x:f>'Transaction Mapping'!N40</x:f>
        <x:v>Sales revenue</x:v>
      </x:c>
      <x:c r="H78" s="30" t="n">
        <x:f>'Transaction Mapping'!F40</x:f>
        <x:v>0</x:v>
      </x:c>
      <x:c r="I78" s="30" t="n">
        <x:f>'Transaction Mapping'!G40</x:f>
        <x:v>200000</x:v>
      </x:c>
      <x:c r="J78" s="23" t="str">
        <x:f>'Transaction Mapping'!P40</x:f>
        <x:v>TRUCK IT IN PVT LTD</x:v>
      </x:c>
      <x:c r="K78" s="23" t="str">
        <x:f>"N/A"</x:f>
        <x:v>N/A</x:v>
      </x:c>
      <x:c r="L78" s="23" t="str">
        <x:f>"Posted"</x:f>
        <x:v>Posted</x:v>
      </x:c>
      <x:c r="M78" s="23" t="str">
        <x:f>'Transaction Mapping'!T40</x:f>
        <x:v>Operating - Receipts</x:v>
      </x:c>
      <x:c r="N78" s="24" t="str">
        <x:f>'Transaction Mapping'!V40</x:f>
        <x:v>FS-000022</x:v>
      </x:c>
    </x:row>
    <x:row r="79">
      <x:c r="A79" s="22" t="str">
        <x:f>"JE-039"</x:f>
        <x:v>JE-039</x:v>
      </x:c>
      <x:c r="B79" s="34" t="n">
        <x:f>'Transaction Mapping'!C41</x:f>
        <x:v>45850</x:v>
      </x:c>
      <x:c r="C79" s="23" t="str">
        <x:f>"Bank Statement"</x:f>
        <x:v>Bank Statement</x:v>
      </x:c>
      <x:c r="D79" s="23" t="str">
        <x:f>'Transaction Mapping'!E41</x:f>
        <x:v>B10-003</x:v>
      </x:c>
      <x:c r="E79" s="23" t="str">
        <x:f>'Transaction Mapping'!D41</x:f>
        <x:v>Bank service charges</x:v>
      </x:c>
      <x:c r="F79" s="23" t="str">
        <x:f>'Transaction Mapping'!K41</x:f>
        <x:v>1029</x:v>
      </x:c>
      <x:c r="G79" s="23" t="str">
        <x:f>'Transaction Mapping'!L41</x:f>
        <x:v>PK55HABB0022827200508103</x:v>
      </x:c>
      <x:c r="H79" s="30" t="n">
        <x:f>'Transaction Mapping'!G41</x:f>
        <x:v>0</x:v>
      </x:c>
      <x:c r="I79" s="30" t="n">
        <x:f>'Transaction Mapping'!F41</x:f>
        <x:v>6000</x:v>
      </x:c>
      <x:c r="J79" s="23" t="str">
        <x:f>'Transaction Mapping'!P41</x:f>
        <x:v>TRUCK IT IN PVT LTD</x:v>
      </x:c>
      <x:c r="K79" s="23" t="str">
        <x:f>"N/A"</x:f>
        <x:v>N/A</x:v>
      </x:c>
      <x:c r="L79" s="23" t="str">
        <x:f>"Posted"</x:f>
        <x:v>Posted</x:v>
      </x:c>
      <x:c r="M79" s="23" t="str">
        <x:f>'Transaction Mapping'!T41</x:f>
        <x:v>Operating - Payments</x:v>
      </x:c>
      <x:c r="N79" s="24" t="str">
        <x:f>'Transaction Mapping'!V41</x:f>
        <x:v>FS-000008</x:v>
      </x:c>
    </x:row>
    <x:row r="80">
      <x:c r="A80" s="22" t="str">
        <x:f>"JE-039"</x:f>
        <x:v>JE-039</x:v>
      </x:c>
      <x:c r="B80" s="34" t="n">
        <x:f>'Transaction Mapping'!C41</x:f>
        <x:v>45850</x:v>
      </x:c>
      <x:c r="C80" s="23" t="str">
        <x:f>"Bank Statement"</x:f>
        <x:v>Bank Statement</x:v>
      </x:c>
      <x:c r="D80" s="23" t="str">
        <x:f>'Transaction Mapping'!E41</x:f>
        <x:v>B10-003</x:v>
      </x:c>
      <x:c r="E80" s="23" t="str">
        <x:f>'Transaction Mapping'!D41</x:f>
        <x:v>Bank service charges</x:v>
      </x:c>
      <x:c r="F80" s="23" t="str">
        <x:f>'Transaction Mapping'!M41</x:f>
        <x:v>1057</x:v>
      </x:c>
      <x:c r="G80" s="23" t="str">
        <x:f>'Transaction Mapping'!N41</x:f>
        <x:v>Bank Charges</x:v>
      </x:c>
      <x:c r="H80" s="30" t="n">
        <x:f>'Transaction Mapping'!F41</x:f>
        <x:v>6000</x:v>
      </x:c>
      <x:c r="I80" s="30" t="n">
        <x:f>'Transaction Mapping'!G41</x:f>
        <x:v>0</x:v>
      </x:c>
      <x:c r="J80" s="23" t="str">
        <x:f>'Transaction Mapping'!P41</x:f>
        <x:v>TRUCK IT IN PVT LTD</x:v>
      </x:c>
      <x:c r="K80" s="23" t="str">
        <x:f>"N/A"</x:f>
        <x:v>N/A</x:v>
      </x:c>
      <x:c r="L80" s="23" t="str">
        <x:f>"Posted"</x:f>
        <x:v>Posted</x:v>
      </x:c>
      <x:c r="M80" s="23" t="str">
        <x:f>'Transaction Mapping'!T41</x:f>
        <x:v>Operating - Payments</x:v>
      </x:c>
      <x:c r="N80" s="24" t="str">
        <x:f>'Transaction Mapping'!V41</x:f>
        <x:v>FS-000008</x:v>
      </x:c>
    </x:row>
    <x:row r="81">
      <x:c r="A81" s="22" t="str">
        <x:f>"JE-040"</x:f>
        <x:v>JE-040</x:v>
      </x:c>
      <x:c r="B81" s="34" t="n">
        <x:f>'Transaction Mapping'!C42</x:f>
        <x:v>45851</x:v>
      </x:c>
      <x:c r="C81" s="23" t="str">
        <x:f>"Bank Statement"</x:f>
        <x:v>Bank Statement</x:v>
      </x:c>
      <x:c r="D81" s="23" t="str">
        <x:f>'Transaction Mapping'!E42</x:f>
        <x:v>B10-004</x:v>
      </x:c>
      <x:c r="E81" s="23" t="str">
        <x:f>'Transaction Mapping'!D42</x:f>
        <x:v>Vendor withholding tax payment</x:v>
      </x:c>
      <x:c r="F81" s="23" t="str">
        <x:f>'Transaction Mapping'!K42</x:f>
        <x:v>1029</x:v>
      </x:c>
      <x:c r="G81" s="23" t="str">
        <x:f>'Transaction Mapping'!L42</x:f>
        <x:v>PK55HABB0022827200508103</x:v>
      </x:c>
      <x:c r="H81" s="30" t="n">
        <x:f>'Transaction Mapping'!G42</x:f>
        <x:v>0</x:v>
      </x:c>
      <x:c r="I81" s="30" t="n">
        <x:f>'Transaction Mapping'!F42</x:f>
        <x:v>12000</x:v>
      </x:c>
      <x:c r="J81" s="23" t="str">
        <x:f>'Transaction Mapping'!P42</x:f>
        <x:v>TRUCK IT IN PVT LTD</x:v>
      </x:c>
      <x:c r="K81" s="23" t="str">
        <x:f>"N/A"</x:f>
        <x:v>N/A</x:v>
      </x:c>
      <x:c r="L81" s="23" t="str">
        <x:f>"Posted"</x:f>
        <x:v>Posted</x:v>
      </x:c>
      <x:c r="M81" s="23" t="str">
        <x:f>'Transaction Mapping'!T42</x:f>
        <x:v>Operating - Payments</x:v>
      </x:c>
      <x:c r="N81" s="24" t="str">
        <x:f>'Transaction Mapping'!V42</x:f>
        <x:v>FS-000023</x:v>
      </x:c>
    </x:row>
    <x:row r="82">
      <x:c r="A82" s="22" t="str">
        <x:f>"JE-040"</x:f>
        <x:v>JE-040</x:v>
      </x:c>
      <x:c r="B82" s="34" t="n">
        <x:f>'Transaction Mapping'!C42</x:f>
        <x:v>45851</x:v>
      </x:c>
      <x:c r="C82" s="23" t="str">
        <x:f>"Bank Statement"</x:f>
        <x:v>Bank Statement</x:v>
      </x:c>
      <x:c r="D82" s="23" t="str">
        <x:f>'Transaction Mapping'!E42</x:f>
        <x:v>B10-004</x:v>
      </x:c>
      <x:c r="E82" s="23" t="str">
        <x:f>'Transaction Mapping'!D42</x:f>
        <x:v>Vendor withholding tax payment</x:v>
      </x:c>
      <x:c r="F82" s="23" t="str">
        <x:f>'Transaction Mapping'!M42</x:f>
        <x:v>1036</x:v>
      </x:c>
      <x:c r="G82" s="23" t="str">
        <x:f>'Transaction Mapping'!N42</x:f>
        <x:v>Withholding tax payable:Withholding tax - Vendors</x:v>
      </x:c>
      <x:c r="H82" s="30" t="n">
        <x:f>'Transaction Mapping'!F42</x:f>
        <x:v>12000</x:v>
      </x:c>
      <x:c r="I82" s="30" t="n">
        <x:f>'Transaction Mapping'!G42</x:f>
        <x:v>0</x:v>
      </x:c>
      <x:c r="J82" s="23" t="str">
        <x:f>'Transaction Mapping'!P42</x:f>
        <x:v>TRUCK IT IN PVT LTD</x:v>
      </x:c>
      <x:c r="K82" s="23" t="str">
        <x:f>"N/A"</x:f>
        <x:v>N/A</x:v>
      </x:c>
      <x:c r="L82" s="23" t="str">
        <x:f>"Posted"</x:f>
        <x:v>Posted</x:v>
      </x:c>
      <x:c r="M82" s="23" t="str">
        <x:f>'Transaction Mapping'!T42</x:f>
        <x:v>Operating - Payments</x:v>
      </x:c>
      <x:c r="N82" s="24" t="str">
        <x:f>'Transaction Mapping'!V42</x:f>
        <x:v>FS-000023</x:v>
      </x:c>
    </x:row>
    <x:row r="83">
      <x:c r="A83" s="22" t="str">
        <x:f>'Non-Bank Entries'!A3</x:f>
        <x:v>NB-001</x:v>
      </x:c>
      <x:c r="B83" s="34" t="n">
        <x:f>'Non-Bank Entries'!B3</x:f>
        <x:v>45869</x:v>
      </x:c>
      <x:c r="C83" s="23" t="str">
        <x:f>"Non-Bank Entry"</x:f>
        <x:v>Non-Bank Entry</x:v>
      </x:c>
      <x:c r="D83" s="23" t="str">
        <x:f>"NB-001"</x:f>
        <x:v>NB-001</x:v>
      </x:c>
      <x:c r="E83" s="23" t="str">
        <x:f>'Non-Bank Entries'!C3</x:f>
        <x:v>Monthly depreciation</x:v>
      </x:c>
      <x:c r="F83" s="23" t="n">
        <x:f>'Non-Bank Entries'!D3</x:f>
        <x:v>1064</x:v>
      </x:c>
      <x:c r="G83" s="23" t="str">
        <x:f>'Non-Bank Entries'!E3</x:f>
        <x:v>Depreciation</x:v>
      </x:c>
      <x:c r="H83" s="30" t="n">
        <x:f>'Non-Bank Entries'!F3</x:f>
        <x:v>50000</x:v>
      </x:c>
      <x:c r="I83" s="30" t="n">
        <x:f>'Non-Bank Entries'!G3</x:f>
        <x:v>0</x:v>
      </x:c>
      <x:c r="J83" s="23" t="str">
        <x:f>'Non-Bank Entries'!H3</x:f>
        <x:v>TRUCK IT IN PVT LTD</x:v>
      </x:c>
      <x:c r="K83" s="23" t="str">
        <x:f>'Non-Bank Entries'!I3</x:f>
        <x:v>N/A</x:v>
      </x:c>
      <x:c r="L83" s="23" t="str">
        <x:f>'Non-Bank Entries'!J3</x:f>
        <x:v>Posted</x:v>
      </x:c>
      <x:c r="M83" s="23" t="str">
        <x:f>'Non-Bank Entries'!K3</x:f>
        <x:v>Non-cash</x:v>
      </x:c>
      <x:c r="N83" s="24" t="n">
        <x:f>'Non-Bank Entries'!M3</x:f>
        <x:v>0</x:v>
      </x:c>
    </x:row>
    <x:row r="84">
      <x:c r="A84" s="25" t="str">
        <x:f>'Non-Bank Entries'!A4</x:f>
        <x:v>NB-001</x:v>
      </x:c>
      <x:c r="B84" s="36" t="n">
        <x:f>'Non-Bank Entries'!B4</x:f>
        <x:v>45869</x:v>
      </x:c>
      <x:c r="C84" s="26" t="str">
        <x:f>"Non-Bank Entry"</x:f>
        <x:v>Non-Bank Entry</x:v>
      </x:c>
      <x:c r="D84" s="26" t="str">
        <x:f>"NB-001"</x:f>
        <x:v>NB-001</x:v>
      </x:c>
      <x:c r="E84" s="26" t="str">
        <x:f>'Non-Bank Entries'!C4</x:f>
        <x:v>Monthly depreciation</x:v>
      </x:c>
      <x:c r="F84" s="26" t="n">
        <x:f>'Non-Bank Entries'!D4</x:f>
        <x:v>1017</x:v>
      </x:c>
      <x:c r="G84" s="26" t="str">
        <x:f>'Non-Bank Entries'!E4</x:f>
        <x:v>Accumulated depreciation</x:v>
      </x:c>
      <x:c r="H84" s="31" t="n">
        <x:f>'Non-Bank Entries'!F4</x:f>
        <x:v>0</x:v>
      </x:c>
      <x:c r="I84" s="31" t="n">
        <x:f>'Non-Bank Entries'!G4</x:f>
        <x:v>50000</x:v>
      </x:c>
      <x:c r="J84" s="26" t="str">
        <x:f>'Non-Bank Entries'!H4</x:f>
        <x:v>TRUCK IT IN PVT LTD</x:v>
      </x:c>
      <x:c r="K84" s="26" t="str">
        <x:f>'Non-Bank Entries'!I4</x:f>
        <x:v>N/A</x:v>
      </x:c>
      <x:c r="L84" s="26" t="str">
        <x:f>'Non-Bank Entries'!J4</x:f>
        <x:v>Posted</x:v>
      </x:c>
      <x:c r="M84" s="26" t="str">
        <x:f>'Non-Bank Entries'!K4</x:f>
        <x:v>Non-cash</x:v>
      </x:c>
      <x:c r="N84" s="27" t="n">
        <x:f>'Non-Bank Entries'!M4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8" hidden="0" customWidth="1"/>
    <x:col min="5" max="5" width="42" hidden="0" customWidth="1"/>
    <x:col min="6" max="6" width="14" hidden="0" customWidth="1"/>
    <x:col min="7" max="7" width="32" hidden="0" customWidth="1"/>
    <x:col min="8" max="8" width="14" hidden="0" customWidth="1"/>
    <x:col min="9" max="9" width="14" hidden="0" customWidth="1"/>
    <x:col min="10" max="10" width="22" hidden="0" customWidth="1"/>
    <x:col min="11" max="11" width="16" hidden="0" customWidth="1"/>
    <x:col min="12" max="12" width="15" hidden="0" customWidth="1"/>
    <x:col min="13" max="13" width="22" hidden="0" customWidth="1"/>
    <x:col min="14" max="14" width="14" hidden="0" customWidth="1"/>
  </x:cols>
  <x:sheetData>
    <x:row r="1" ht="26" customHeight="1">
      <x:c r="A1" s="3" t="str">
        <x:v>General Ledger — Posted Detail</x:v>
      </x:c>
    </x:row>
    <x:row r="2">
      <x:c r="A2" s="19" t="str">
        <x:v>JE ID</x:v>
      </x:c>
      <x:c r="B2" s="20" t="str">
        <x:v>Date</x:v>
      </x:c>
      <x:c r="C2" s="20" t="str">
        <x:v>Source</x:v>
      </x:c>
      <x:c r="D2" s="20" t="str">
        <x:v>Source Reference</x:v>
      </x:c>
      <x:c r="E2" s="20" t="str">
        <x:v>Description</x:v>
      </x:c>
      <x:c r="F2" s="20" t="str">
        <x:v>GL Code</x:v>
      </x:c>
      <x:c r="G2" s="20" t="str">
        <x:v>GL Account</x:v>
      </x:c>
      <x:c r="H2" s="20" t="str">
        <x:v>Debit</x:v>
      </x:c>
      <x:c r="I2" s="20" t="str">
        <x:v>Credit</x:v>
      </x:c>
      <x:c r="J2" s="20" t="str">
        <x:v>Entity</x:v>
      </x:c>
      <x:c r="K2" s="20" t="str">
        <x:v>Tax Treatment</x:v>
      </x:c>
      <x:c r="L2" s="20" t="str">
        <x:v>Posting Status</x:v>
      </x:c>
      <x:c r="M2" s="20" t="str">
        <x:v>Cash Flow Category</x:v>
      </x:c>
      <x:c r="N2" s="21" t="str">
        <x:v>FS Tag</x:v>
      </x:c>
    </x:row>
    <x:row r="3">
      <x:c r="A3" s="22" t="str">
        <x:f>'Journal Entries'!A3</x:f>
        <x:v>JE-001</x:v>
      </x:c>
      <x:c r="B3" s="34" t="n">
        <x:f>'Journal Entries'!B3</x:f>
        <x:v>45839</x:v>
      </x:c>
      <x:c r="C3" s="23" t="str">
        <x:f>'Journal Entries'!C3</x:f>
        <x:v>Bank Statement</x:v>
      </x:c>
      <x:c r="D3" s="23" t="str">
        <x:f>'Journal Entries'!D3</x:f>
        <x:v>B01-001</x:v>
      </x:c>
      <x:c r="E3" s="23" t="str">
        <x:f>'Journal Entries'!E3</x:f>
        <x:v>Customer collection — merchant settlement</x:v>
      </x:c>
      <x:c r="F3" s="23" t="str">
        <x:f>'Journal Entries'!F3</x:f>
        <x:v>1029</x:v>
      </x:c>
      <x:c r="G3" s="23" t="str">
        <x:f>'Journal Entries'!G3</x:f>
        <x:v>PK55HABB0022827200508103</x:v>
      </x:c>
      <x:c r="H3" s="30" t="n">
        <x:f>'Journal Entries'!H3</x:f>
        <x:v>800000</x:v>
      </x:c>
      <x:c r="I3" s="30" t="n">
        <x:f>'Journal Entries'!I3</x:f>
        <x:v>0</x:v>
      </x:c>
      <x:c r="J3" s="23" t="str">
        <x:f>'Journal Entries'!J3</x:f>
        <x:v>TRUCK IT IN PVT LTD</x:v>
      </x:c>
      <x:c r="K3" s="23" t="str">
        <x:f>'Journal Entries'!K3</x:f>
        <x:v>N/A</x:v>
      </x:c>
      <x:c r="L3" s="23" t="str">
        <x:f>'Journal Entries'!L3</x:f>
        <x:v>Posted</x:v>
      </x:c>
      <x:c r="M3" s="23" t="str">
        <x:f>'Journal Entries'!M3</x:f>
        <x:v>Operating - Receipts</x:v>
      </x:c>
      <x:c r="N3" s="24" t="str">
        <x:f>'Journal Entries'!N3</x:f>
        <x:v>FS-000022</x:v>
      </x:c>
    </x:row>
    <x:row r="4">
      <x:c r="A4" s="22" t="str">
        <x:f>'Journal Entries'!A4</x:f>
        <x:v>JE-001</x:v>
      </x:c>
      <x:c r="B4" s="34" t="n">
        <x:f>'Journal Entries'!B4</x:f>
        <x:v>45839</x:v>
      </x:c>
      <x:c r="C4" s="23" t="str">
        <x:f>'Journal Entries'!C4</x:f>
        <x:v>Bank Statement</x:v>
      </x:c>
      <x:c r="D4" s="23" t="str">
        <x:f>'Journal Entries'!D4</x:f>
        <x:v>B01-001</x:v>
      </x:c>
      <x:c r="E4" s="23" t="str">
        <x:f>'Journal Entries'!E4</x:f>
        <x:v>Customer collection — merchant settlement</x:v>
      </x:c>
      <x:c r="F4" s="23" t="str">
        <x:f>'Journal Entries'!F4</x:f>
        <x:v>1050</x:v>
      </x:c>
      <x:c r="G4" s="23" t="str">
        <x:f>'Journal Entries'!G4</x:f>
        <x:v>Sales revenue</x:v>
      </x:c>
      <x:c r="H4" s="30" t="n">
        <x:f>'Journal Entries'!H4</x:f>
        <x:v>0</x:v>
      </x:c>
      <x:c r="I4" s="30" t="n">
        <x:f>'Journal Entries'!I4</x:f>
        <x:v>800000</x:v>
      </x:c>
      <x:c r="J4" s="23" t="str">
        <x:f>'Journal Entries'!J4</x:f>
        <x:v>TRUCK IT IN PVT LTD</x:v>
      </x:c>
      <x:c r="K4" s="23" t="str">
        <x:f>'Journal Entries'!K4</x:f>
        <x:v>N/A</x:v>
      </x:c>
      <x:c r="L4" s="23" t="str">
        <x:f>'Journal Entries'!L4</x:f>
        <x:v>Posted</x:v>
      </x:c>
      <x:c r="M4" s="23" t="str">
        <x:f>'Journal Entries'!M4</x:f>
        <x:v>Operating - Receipts</x:v>
      </x:c>
      <x:c r="N4" s="24" t="str">
        <x:f>'Journal Entries'!N4</x:f>
        <x:v>FS-000022</x:v>
      </x:c>
    </x:row>
    <x:row r="5">
      <x:c r="A5" s="22" t="str">
        <x:f>'Journal Entries'!A5</x:f>
        <x:v>JE-002</x:v>
      </x:c>
      <x:c r="B5" s="34" t="n">
        <x:f>'Journal Entries'!B5</x:f>
        <x:v>45840</x:v>
      </x:c>
      <x:c r="C5" s="23" t="str">
        <x:f>'Journal Entries'!C5</x:f>
        <x:v>Bank Statement</x:v>
      </x:c>
      <x:c r="D5" s="23" t="str">
        <x:f>'Journal Entries'!D5</x:f>
        <x:v>B01-002</x:v>
      </x:c>
      <x:c r="E5" s="23" t="str">
        <x:f>'Journal Entries'!E5</x:f>
        <x:v>Vendor payout — carrier settlement</x:v>
      </x:c>
      <x:c r="F5" s="23" t="str">
        <x:f>'Journal Entries'!F5</x:f>
        <x:v>1029</x:v>
      </x:c>
      <x:c r="G5" s="23" t="str">
        <x:f>'Journal Entries'!G5</x:f>
        <x:v>PK55HABB0022827200508103</x:v>
      </x:c>
      <x:c r="H5" s="30" t="n">
        <x:f>'Journal Entries'!H5</x:f>
        <x:v>0</x:v>
      </x:c>
      <x:c r="I5" s="30" t="n">
        <x:f>'Journal Entries'!I5</x:f>
        <x:v>450000</x:v>
      </x:c>
      <x:c r="J5" s="23" t="str">
        <x:f>'Journal Entries'!J5</x:f>
        <x:v>TRUCK IT IN PVT LTD</x:v>
      </x:c>
      <x:c r="K5" s="23" t="str">
        <x:f>'Journal Entries'!K5</x:f>
        <x:v>N/A</x:v>
      </x:c>
      <x:c r="L5" s="23" t="str">
        <x:f>'Journal Entries'!L5</x:f>
        <x:v>Posted</x:v>
      </x:c>
      <x:c r="M5" s="23" t="str">
        <x:f>'Journal Entries'!M5</x:f>
        <x:v>Operating - Payments</x:v>
      </x:c>
      <x:c r="N5" s="24" t="str">
        <x:f>'Journal Entries'!N5</x:f>
        <x:v>FS-000003</x:v>
      </x:c>
    </x:row>
    <x:row r="6">
      <x:c r="A6" s="22" t="str">
        <x:f>'Journal Entries'!A6</x:f>
        <x:v>JE-002</x:v>
      </x:c>
      <x:c r="B6" s="34" t="n">
        <x:f>'Journal Entries'!B6</x:f>
        <x:v>45840</x:v>
      </x:c>
      <x:c r="C6" s="23" t="str">
        <x:f>'Journal Entries'!C6</x:f>
        <x:v>Bank Statement</x:v>
      </x:c>
      <x:c r="D6" s="23" t="str">
        <x:f>'Journal Entries'!D6</x:f>
        <x:v>B01-002</x:v>
      </x:c>
      <x:c r="E6" s="23" t="str">
        <x:f>'Journal Entries'!E6</x:f>
        <x:v>Vendor payout — carrier settlement</x:v>
      </x:c>
      <x:c r="F6" s="23" t="str">
        <x:f>'Journal Entries'!F6</x:f>
        <x:v>1054</x:v>
      </x:c>
      <x:c r="G6" s="23" t="str">
        <x:f>'Journal Entries'!G6</x:f>
        <x:v>Trucker's Commission</x:v>
      </x:c>
      <x:c r="H6" s="30" t="n">
        <x:f>'Journal Entries'!H6</x:f>
        <x:v>450000</x:v>
      </x:c>
      <x:c r="I6" s="30" t="n">
        <x:f>'Journal Entries'!I6</x:f>
        <x:v>0</x:v>
      </x:c>
      <x:c r="J6" s="23" t="str">
        <x:f>'Journal Entries'!J6</x:f>
        <x:v>TRUCK IT IN PVT LTD</x:v>
      </x:c>
      <x:c r="K6" s="23" t="str">
        <x:f>'Journal Entries'!K6</x:f>
        <x:v>N/A</x:v>
      </x:c>
      <x:c r="L6" s="23" t="str">
        <x:f>'Journal Entries'!L6</x:f>
        <x:v>Posted</x:v>
      </x:c>
      <x:c r="M6" s="23" t="str">
        <x:f>'Journal Entries'!M6</x:f>
        <x:v>Operating - Payments</x:v>
      </x:c>
      <x:c r="N6" s="24" t="str">
        <x:f>'Journal Entries'!N6</x:f>
        <x:v>FS-000003</x:v>
      </x:c>
    </x:row>
    <x:row r="7">
      <x:c r="A7" s="22" t="str">
        <x:f>'Journal Entries'!A7</x:f>
        <x:v>JE-003</x:v>
      </x:c>
      <x:c r="B7" s="34" t="n">
        <x:f>'Journal Entries'!B7</x:f>
        <x:v>45841</x:v>
      </x:c>
      <x:c r="C7" s="23" t="str">
        <x:f>'Journal Entries'!C7</x:f>
        <x:v>Bank Statement</x:v>
      </x:c>
      <x:c r="D7" s="23" t="str">
        <x:f>'Journal Entries'!D7</x:f>
        <x:v>B01-003</x:v>
      </x:c>
      <x:c r="E7" s="23" t="str">
        <x:f>'Journal Entries'!E7</x:f>
        <x:v>Cloud hosting and software payment</x:v>
      </x:c>
      <x:c r="F7" s="23" t="str">
        <x:f>'Journal Entries'!F7</x:f>
        <x:v>1029</x:v>
      </x:c>
      <x:c r="G7" s="23" t="str">
        <x:f>'Journal Entries'!G7</x:f>
        <x:v>PK55HABB0022827200508103</x:v>
      </x:c>
      <x:c r="H7" s="30" t="n">
        <x:f>'Journal Entries'!H7</x:f>
        <x:v>0</x:v>
      </x:c>
      <x:c r="I7" s="30" t="n">
        <x:f>'Journal Entries'!I7</x:f>
        <x:v>75000</x:v>
      </x:c>
      <x:c r="J7" s="23" t="str">
        <x:f>'Journal Entries'!J7</x:f>
        <x:v>TRUCK IT IN PVT LTD</x:v>
      </x:c>
      <x:c r="K7" s="23" t="str">
        <x:f>'Journal Entries'!K7</x:f>
        <x:v>N/A</x:v>
      </x:c>
      <x:c r="L7" s="23" t="str">
        <x:f>'Journal Entries'!L7</x:f>
        <x:v>Posted</x:v>
      </x:c>
      <x:c r="M7" s="23" t="str">
        <x:f>'Journal Entries'!M7</x:f>
        <x:v>Operating - Payments</x:v>
      </x:c>
      <x:c r="N7" s="24" t="str">
        <x:f>'Journal Entries'!N7</x:f>
        <x:v>FS-000021</x:v>
      </x:c>
    </x:row>
    <x:row r="8">
      <x:c r="A8" s="22" t="str">
        <x:f>'Journal Entries'!A8</x:f>
        <x:v>JE-003</x:v>
      </x:c>
      <x:c r="B8" s="34" t="n">
        <x:f>'Journal Entries'!B8</x:f>
        <x:v>45841</x:v>
      </x:c>
      <x:c r="C8" s="23" t="str">
        <x:f>'Journal Entries'!C8</x:f>
        <x:v>Bank Statement</x:v>
      </x:c>
      <x:c r="D8" s="23" t="str">
        <x:f>'Journal Entries'!D8</x:f>
        <x:v>B01-003</x:v>
      </x:c>
      <x:c r="E8" s="23" t="str">
        <x:f>'Journal Entries'!E8</x:f>
        <x:v>Cloud hosting and software payment</x:v>
      </x:c>
      <x:c r="F8" s="23" t="str">
        <x:f>'Journal Entries'!F8</x:f>
        <x:v>1068</x:v>
      </x:c>
      <x:c r="G8" s="23" t="str">
        <x:f>'Journal Entries'!G8</x:f>
        <x:v>Other Expenses</x:v>
      </x:c>
      <x:c r="H8" s="30" t="n">
        <x:f>'Journal Entries'!H8</x:f>
        <x:v>75000</x:v>
      </x:c>
      <x:c r="I8" s="30" t="n">
        <x:f>'Journal Entries'!I8</x:f>
        <x:v>0</x:v>
      </x:c>
      <x:c r="J8" s="23" t="str">
        <x:f>'Journal Entries'!J8</x:f>
        <x:v>TRUCK IT IN PVT LTD</x:v>
      </x:c>
      <x:c r="K8" s="23" t="str">
        <x:f>'Journal Entries'!K8</x:f>
        <x:v>N/A</x:v>
      </x:c>
      <x:c r="L8" s="23" t="str">
        <x:f>'Journal Entries'!L8</x:f>
        <x:v>Posted</x:v>
      </x:c>
      <x:c r="M8" s="23" t="str">
        <x:f>'Journal Entries'!M8</x:f>
        <x:v>Operating - Payments</x:v>
      </x:c>
      <x:c r="N8" s="24" t="str">
        <x:f>'Journal Entries'!N8</x:f>
        <x:v>FS-000021</x:v>
      </x:c>
    </x:row>
    <x:row r="9">
      <x:c r="A9" s="22" t="str">
        <x:f>'Journal Entries'!A9</x:f>
        <x:v>JE-004</x:v>
      </x:c>
      <x:c r="B9" s="34" t="n">
        <x:f>'Journal Entries'!B9</x:f>
        <x:v>45842</x:v>
      </x:c>
      <x:c r="C9" s="23" t="str">
        <x:f>'Journal Entries'!C9</x:f>
        <x:v>Bank Statement</x:v>
      </x:c>
      <x:c r="D9" s="23" t="str">
        <x:f>'Journal Entries'!D9</x:f>
        <x:v>TRF-01-02</x:v>
      </x:c>
      <x:c r="E9" s="23" t="str">
        <x:f>'Journal Entries'!E9</x:f>
        <x:v>Transfer to Meezan Payroll</x:v>
      </x:c>
      <x:c r="F9" s="23" t="str">
        <x:f>'Journal Entries'!F9</x:f>
        <x:v>1029</x:v>
      </x:c>
      <x:c r="G9" s="23" t="str">
        <x:f>'Journal Entries'!G9</x:f>
        <x:v>PK55HABB0022827200508103</x:v>
      </x:c>
      <x:c r="H9" s="30" t="n">
        <x:f>'Journal Entries'!H9</x:f>
        <x:v>0</x:v>
      </x:c>
      <x:c r="I9" s="30" t="n">
        <x:f>'Journal Entries'!I9</x:f>
        <x:v>200000</x:v>
      </x:c>
      <x:c r="J9" s="23" t="str">
        <x:f>'Journal Entries'!J9</x:f>
        <x:v>TRUCK IT IN PVT LTD</x:v>
      </x:c>
      <x:c r="K9" s="23" t="str">
        <x:f>'Journal Entries'!K9</x:f>
        <x:v>N/A</x:v>
      </x:c>
      <x:c r="L9" s="23" t="str">
        <x:f>'Journal Entries'!L9</x:f>
        <x:v>Posted</x:v>
      </x:c>
      <x:c r="M9" s="23" t="str">
        <x:f>'Journal Entries'!M9</x:f>
        <x:v>Transfer</x:v>
      </x:c>
      <x:c r="N9" s="24" t="str">
        <x:f>'Journal Entries'!N9</x:f>
        <x:v>FS-000020</x:v>
      </x:c>
    </x:row>
    <x:row r="10">
      <x:c r="A10" s="22" t="str">
        <x:f>'Journal Entries'!A10</x:f>
        <x:v>JE-004</x:v>
      </x:c>
      <x:c r="B10" s="34" t="n">
        <x:f>'Journal Entries'!B10</x:f>
        <x:v>45842</x:v>
      </x:c>
      <x:c r="C10" s="23" t="str">
        <x:f>'Journal Entries'!C10</x:f>
        <x:v>Bank Statement</x:v>
      </x:c>
      <x:c r="D10" s="23" t="str">
        <x:f>'Journal Entries'!D10</x:f>
        <x:v>TRF-01-02</x:v>
      </x:c>
      <x:c r="E10" s="23" t="str">
        <x:f>'Journal Entries'!E10</x:f>
        <x:v>Transfer to Meezan Payroll</x:v>
      </x:c>
      <x:c r="F10" s="23" t="str">
        <x:f>'Journal Entries'!F10</x:f>
        <x:v>1030</x:v>
      </x:c>
      <x:c r="G10" s="23" t="str">
        <x:f>'Journal Entries'!G10</x:f>
        <x:v>PK24MEZN0001110107095251</x:v>
      </x:c>
      <x:c r="H10" s="30" t="n">
        <x:f>'Journal Entries'!H10</x:f>
        <x:v>200000</x:v>
      </x:c>
      <x:c r="I10" s="30" t="n">
        <x:f>'Journal Entries'!I10</x:f>
        <x:v>0</x:v>
      </x:c>
      <x:c r="J10" s="23" t="str">
        <x:f>'Journal Entries'!J10</x:f>
        <x:v>TRUCK IT IN PVT LTD</x:v>
      </x:c>
      <x:c r="K10" s="23" t="str">
        <x:f>'Journal Entries'!K10</x:f>
        <x:v>N/A</x:v>
      </x:c>
      <x:c r="L10" s="23" t="str">
        <x:f>'Journal Entries'!L10</x:f>
        <x:v>Posted</x:v>
      </x:c>
      <x:c r="M10" s="23" t="str">
        <x:f>'Journal Entries'!M10</x:f>
        <x:v>Transfer</x:v>
      </x:c>
      <x:c r="N10" s="24" t="str">
        <x:f>'Journal Entries'!N10</x:f>
        <x:v>FS-000020</x:v>
      </x:c>
    </x:row>
    <x:row r="11">
      <x:c r="A11" s="22" t="str">
        <x:f>'Journal Entries'!A11</x:f>
        <x:v>JE-005</x:v>
      </x:c>
      <x:c r="B11" s="34" t="n">
        <x:f>'Journal Entries'!B11</x:f>
        <x:v>45840</x:v>
      </x:c>
      <x:c r="C11" s="23" t="str">
        <x:f>'Journal Entries'!C11</x:f>
        <x:v>Bank Statement</x:v>
      </x:c>
      <x:c r="D11" s="23" t="str">
        <x:f>'Journal Entries'!D11</x:f>
        <x:v>TRF-01-02</x:v>
      </x:c>
      <x:c r="E11" s="23" t="str">
        <x:f>'Journal Entries'!E11</x:f>
        <x:v>Transfer received from HBL Main</x:v>
      </x:c>
      <x:c r="F11" s="23" t="str">
        <x:f>'Journal Entries'!F11</x:f>
        <x:v>1030</x:v>
      </x:c>
      <x:c r="G11" s="23" t="str">
        <x:f>'Journal Entries'!G11</x:f>
        <x:v>PK24MEZN0001110107095251</x:v>
      </x:c>
      <x:c r="H11" s="30" t="n">
        <x:f>'Journal Entries'!H11</x:f>
        <x:v>200000</x:v>
      </x:c>
      <x:c r="I11" s="30" t="n">
        <x:f>'Journal Entries'!I11</x:f>
        <x:v>0</x:v>
      </x:c>
      <x:c r="J11" s="23" t="str">
        <x:f>'Journal Entries'!J11</x:f>
        <x:v>TRUCK IT IN PVT LTD</x:v>
      </x:c>
      <x:c r="K11" s="23" t="str">
        <x:f>'Journal Entries'!K11</x:f>
        <x:v>N/A</x:v>
      </x:c>
      <x:c r="L11" s="23" t="str">
        <x:f>'Journal Entries'!L11</x:f>
        <x:v>Posted</x:v>
      </x:c>
      <x:c r="M11" s="23" t="str">
        <x:f>'Journal Entries'!M11</x:f>
        <x:v>Transfer</x:v>
      </x:c>
      <x:c r="N11" s="24" t="str">
        <x:f>'Journal Entries'!N11</x:f>
        <x:v>FS-000020</x:v>
      </x:c>
    </x:row>
    <x:row r="12">
      <x:c r="A12" s="22" t="str">
        <x:f>'Journal Entries'!A12</x:f>
        <x:v>JE-005</x:v>
      </x:c>
      <x:c r="B12" s="34" t="n">
        <x:f>'Journal Entries'!B12</x:f>
        <x:v>45840</x:v>
      </x:c>
      <x:c r="C12" s="23" t="str">
        <x:f>'Journal Entries'!C12</x:f>
        <x:v>Bank Statement</x:v>
      </x:c>
      <x:c r="D12" s="23" t="str">
        <x:f>'Journal Entries'!D12</x:f>
        <x:v>TRF-01-02</x:v>
      </x:c>
      <x:c r="E12" s="23" t="str">
        <x:f>'Journal Entries'!E12</x:f>
        <x:v>Transfer received from HBL Main</x:v>
      </x:c>
      <x:c r="F12" s="23" t="str">
        <x:f>'Journal Entries'!F12</x:f>
        <x:v>1029</x:v>
      </x:c>
      <x:c r="G12" s="23" t="str">
        <x:f>'Journal Entries'!G12</x:f>
        <x:v>PK55HABB0022827200508103</x:v>
      </x:c>
      <x:c r="H12" s="30" t="n">
        <x:f>'Journal Entries'!H12</x:f>
        <x:v>0</x:v>
      </x:c>
      <x:c r="I12" s="30" t="n">
        <x:f>'Journal Entries'!I12</x:f>
        <x:v>200000</x:v>
      </x:c>
      <x:c r="J12" s="23" t="str">
        <x:f>'Journal Entries'!J12</x:f>
        <x:v>TRUCK IT IN PVT LTD</x:v>
      </x:c>
      <x:c r="K12" s="23" t="str">
        <x:f>'Journal Entries'!K12</x:f>
        <x:v>N/A</x:v>
      </x:c>
      <x:c r="L12" s="23" t="str">
        <x:f>'Journal Entries'!L12</x:f>
        <x:v>Posted</x:v>
      </x:c>
      <x:c r="M12" s="23" t="str">
        <x:f>'Journal Entries'!M12</x:f>
        <x:v>Transfer</x:v>
      </x:c>
      <x:c r="N12" s="24" t="str">
        <x:f>'Journal Entries'!N12</x:f>
        <x:v>FS-000020</x:v>
      </x:c>
    </x:row>
    <x:row r="13">
      <x:c r="A13" s="22" t="str">
        <x:f>'Journal Entries'!A13</x:f>
        <x:v>JE-006</x:v>
      </x:c>
      <x:c r="B13" s="34" t="n">
        <x:f>'Journal Entries'!B13</x:f>
        <x:v>45841</x:v>
      </x:c>
      <x:c r="C13" s="23" t="str">
        <x:f>'Journal Entries'!C13</x:f>
        <x:v>Bank Statement</x:v>
      </x:c>
      <x:c r="D13" s="23" t="str">
        <x:f>'Journal Entries'!D13</x:f>
        <x:v>B02-002</x:v>
      </x:c>
      <x:c r="E13" s="23" t="str">
        <x:f>'Journal Entries'!E13</x:f>
        <x:v>Payroll disbursement — July</x:v>
      </x:c>
      <x:c r="F13" s="23" t="str">
        <x:f>'Journal Entries'!F13</x:f>
        <x:v>1030</x:v>
      </x:c>
      <x:c r="G13" s="23" t="str">
        <x:f>'Journal Entries'!G13</x:f>
        <x:v>PK24MEZN0001110107095251</x:v>
      </x:c>
      <x:c r="H13" s="30" t="n">
        <x:f>'Journal Entries'!H13</x:f>
        <x:v>0</x:v>
      </x:c>
      <x:c r="I13" s="30" t="n">
        <x:f>'Journal Entries'!I13</x:f>
        <x:v>160000</x:v>
      </x:c>
      <x:c r="J13" s="23" t="str">
        <x:f>'Journal Entries'!J13</x:f>
        <x:v>TRUCK IT IN PVT LTD</x:v>
      </x:c>
      <x:c r="K13" s="23" t="str">
        <x:f>'Journal Entries'!K13</x:f>
        <x:v>N/A</x:v>
      </x:c>
      <x:c r="L13" s="23" t="str">
        <x:f>'Journal Entries'!L13</x:f>
        <x:v>Posted</x:v>
      </x:c>
      <x:c r="M13" s="23" t="str">
        <x:f>'Journal Entries'!M13</x:f>
        <x:v>Operating - Payments</x:v>
      </x:c>
      <x:c r="N13" s="24" t="str">
        <x:f>'Journal Entries'!N13</x:f>
        <x:v>FS-000010</x:v>
      </x:c>
    </x:row>
    <x:row r="14">
      <x:c r="A14" s="22" t="str">
        <x:f>'Journal Entries'!A14</x:f>
        <x:v>JE-006</x:v>
      </x:c>
      <x:c r="B14" s="34" t="n">
        <x:f>'Journal Entries'!B14</x:f>
        <x:v>45841</x:v>
      </x:c>
      <x:c r="C14" s="23" t="str">
        <x:f>'Journal Entries'!C14</x:f>
        <x:v>Bank Statement</x:v>
      </x:c>
      <x:c r="D14" s="23" t="str">
        <x:f>'Journal Entries'!D14</x:f>
        <x:v>B02-002</x:v>
      </x:c>
      <x:c r="E14" s="23" t="str">
        <x:f>'Journal Entries'!E14</x:f>
        <x:v>Payroll disbursement — July</x:v>
      </x:c>
      <x:c r="F14" s="23" t="str">
        <x:f>'Journal Entries'!F14</x:f>
        <x:v>1056</x:v>
      </x:c>
      <x:c r="G14" s="23" t="str">
        <x:f>'Journal Entries'!G14</x:f>
        <x:v>SALARIES &amp; WAGES</x:v>
      </x:c>
      <x:c r="H14" s="30" t="n">
        <x:f>'Journal Entries'!H14</x:f>
        <x:v>160000</x:v>
      </x:c>
      <x:c r="I14" s="30" t="n">
        <x:f>'Journal Entries'!I14</x:f>
        <x:v>0</x:v>
      </x:c>
      <x:c r="J14" s="23" t="str">
        <x:f>'Journal Entries'!J14</x:f>
        <x:v>TRUCK IT IN PVT LTD</x:v>
      </x:c>
      <x:c r="K14" s="23" t="str">
        <x:f>'Journal Entries'!K14</x:f>
        <x:v>N/A</x:v>
      </x:c>
      <x:c r="L14" s="23" t="str">
        <x:f>'Journal Entries'!L14</x:f>
        <x:v>Posted</x:v>
      </x:c>
      <x:c r="M14" s="23" t="str">
        <x:f>'Journal Entries'!M14</x:f>
        <x:v>Operating - Payments</x:v>
      </x:c>
      <x:c r="N14" s="24" t="str">
        <x:f>'Journal Entries'!N14</x:f>
        <x:v>FS-000010</x:v>
      </x:c>
    </x:row>
    <x:row r="15">
      <x:c r="A15" s="22" t="str">
        <x:f>'Journal Entries'!A15</x:f>
        <x:v>JE-007</x:v>
      </x:c>
      <x:c r="B15" s="34" t="n">
        <x:f>'Journal Entries'!B15</x:f>
        <x:v>45842</x:v>
      </x:c>
      <x:c r="C15" s="23" t="str">
        <x:f>'Journal Entries'!C15</x:f>
        <x:v>Bank Statement</x:v>
      </x:c>
      <x:c r="D15" s="23" t="str">
        <x:f>'Journal Entries'!D15</x:f>
        <x:v>B02-003</x:v>
      </x:c>
      <x:c r="E15" s="23" t="str">
        <x:f>'Journal Entries'!E15</x:f>
        <x:v>Payroll withholding tax payment</x:v>
      </x:c>
      <x:c r="F15" s="23" t="str">
        <x:f>'Journal Entries'!F15</x:f>
        <x:v>1030</x:v>
      </x:c>
      <x:c r="G15" s="23" t="str">
        <x:f>'Journal Entries'!G15</x:f>
        <x:v>PK24MEZN0001110107095251</x:v>
      </x:c>
      <x:c r="H15" s="30" t="n">
        <x:f>'Journal Entries'!H15</x:f>
        <x:v>0</x:v>
      </x:c>
      <x:c r="I15" s="30" t="n">
        <x:f>'Journal Entries'!I15</x:f>
        <x:v>25000</x:v>
      </x:c>
      <x:c r="J15" s="23" t="str">
        <x:f>'Journal Entries'!J15</x:f>
        <x:v>TRUCK IT IN PVT LTD</x:v>
      </x:c>
      <x:c r="K15" s="23" t="str">
        <x:f>'Journal Entries'!K15</x:f>
        <x:v>N/A</x:v>
      </x:c>
      <x:c r="L15" s="23" t="str">
        <x:f>'Journal Entries'!L15</x:f>
        <x:v>Posted</x:v>
      </x:c>
      <x:c r="M15" s="23" t="str">
        <x:f>'Journal Entries'!M15</x:f>
        <x:v>Operating - Payments</x:v>
      </x:c>
      <x:c r="N15" s="24" t="str">
        <x:f>'Journal Entries'!N15</x:f>
        <x:v>FS-000019</x:v>
      </x:c>
    </x:row>
    <x:row r="16">
      <x:c r="A16" s="22" t="str">
        <x:f>'Journal Entries'!A16</x:f>
        <x:v>JE-007</x:v>
      </x:c>
      <x:c r="B16" s="34" t="n">
        <x:f>'Journal Entries'!B16</x:f>
        <x:v>45842</x:v>
      </x:c>
      <x:c r="C16" s="23" t="str">
        <x:f>'Journal Entries'!C16</x:f>
        <x:v>Bank Statement</x:v>
      </x:c>
      <x:c r="D16" s="23" t="str">
        <x:f>'Journal Entries'!D16</x:f>
        <x:v>B02-003</x:v>
      </x:c>
      <x:c r="E16" s="23" t="str">
        <x:f>'Journal Entries'!E16</x:f>
        <x:v>Payroll withholding tax payment</x:v>
      </x:c>
      <x:c r="F16" s="23" t="str">
        <x:f>'Journal Entries'!F16</x:f>
        <x:v>1034</x:v>
      </x:c>
      <x:c r="G16" s="23" t="str">
        <x:f>'Journal Entries'!G16</x:f>
        <x:v>Accrued payroll</x:v>
      </x:c>
      <x:c r="H16" s="30" t="n">
        <x:f>'Journal Entries'!H16</x:f>
        <x:v>25000</x:v>
      </x:c>
      <x:c r="I16" s="30" t="n">
        <x:f>'Journal Entries'!I16</x:f>
        <x:v>0</x:v>
      </x:c>
      <x:c r="J16" s="23" t="str">
        <x:f>'Journal Entries'!J16</x:f>
        <x:v>TRUCK IT IN PVT LTD</x:v>
      </x:c>
      <x:c r="K16" s="23" t="str">
        <x:f>'Journal Entries'!K16</x:f>
        <x:v>N/A</x:v>
      </x:c>
      <x:c r="L16" s="23" t="str">
        <x:f>'Journal Entries'!L16</x:f>
        <x:v>Posted</x:v>
      </x:c>
      <x:c r="M16" s="23" t="str">
        <x:f>'Journal Entries'!M16</x:f>
        <x:v>Operating - Payments</x:v>
      </x:c>
      <x:c r="N16" s="24" t="str">
        <x:f>'Journal Entries'!N16</x:f>
        <x:v>FS-000019</x:v>
      </x:c>
    </x:row>
    <x:row r="17">
      <x:c r="A17" s="22" t="str">
        <x:f>'Journal Entries'!A17</x:f>
        <x:v>JE-008</x:v>
      </x:c>
      <x:c r="B17" s="34" t="n">
        <x:f>'Journal Entries'!B17</x:f>
        <x:v>45843</x:v>
      </x:c>
      <x:c r="C17" s="23" t="str">
        <x:f>'Journal Entries'!C17</x:f>
        <x:v>Bank Statement</x:v>
      </x:c>
      <x:c r="D17" s="23" t="str">
        <x:f>'Journal Entries'!D17</x:f>
        <x:v>B02-004</x:v>
      </x:c>
      <x:c r="E17" s="23" t="str">
        <x:f>'Journal Entries'!E17</x:f>
        <x:v>Vendor withholding tax payment</x:v>
      </x:c>
      <x:c r="F17" s="23" t="str">
        <x:f>'Journal Entries'!F17</x:f>
        <x:v>1030</x:v>
      </x:c>
      <x:c r="G17" s="23" t="str">
        <x:f>'Journal Entries'!G17</x:f>
        <x:v>PK24MEZN0001110107095251</x:v>
      </x:c>
      <x:c r="H17" s="30" t="n">
        <x:f>'Journal Entries'!H17</x:f>
        <x:v>0</x:v>
      </x:c>
      <x:c r="I17" s="30" t="n">
        <x:f>'Journal Entries'!I17</x:f>
        <x:v>10000</x:v>
      </x:c>
      <x:c r="J17" s="23" t="str">
        <x:f>'Journal Entries'!J17</x:f>
        <x:v>TRUCK IT IN PVT LTD</x:v>
      </x:c>
      <x:c r="K17" s="23" t="str">
        <x:f>'Journal Entries'!K17</x:f>
        <x:v>N/A</x:v>
      </x:c>
      <x:c r="L17" s="23" t="str">
        <x:f>'Journal Entries'!L17</x:f>
        <x:v>Posted</x:v>
      </x:c>
      <x:c r="M17" s="23" t="str">
        <x:f>'Journal Entries'!M17</x:f>
        <x:v>Operating - Payments</x:v>
      </x:c>
      <x:c r="N17" s="24" t="str">
        <x:f>'Journal Entries'!N17</x:f>
        <x:v>FS-000023</x:v>
      </x:c>
    </x:row>
    <x:row r="18">
      <x:c r="A18" s="22" t="str">
        <x:f>'Journal Entries'!A18</x:f>
        <x:v>JE-008</x:v>
      </x:c>
      <x:c r="B18" s="34" t="n">
        <x:f>'Journal Entries'!B18</x:f>
        <x:v>45843</x:v>
      </x:c>
      <x:c r="C18" s="23" t="str">
        <x:f>'Journal Entries'!C18</x:f>
        <x:v>Bank Statement</x:v>
      </x:c>
      <x:c r="D18" s="23" t="str">
        <x:f>'Journal Entries'!D18</x:f>
        <x:v>B02-004</x:v>
      </x:c>
      <x:c r="E18" s="23" t="str">
        <x:f>'Journal Entries'!E18</x:f>
        <x:v>Vendor withholding tax payment</x:v>
      </x:c>
      <x:c r="F18" s="23" t="str">
        <x:f>'Journal Entries'!F18</x:f>
        <x:v>1036</x:v>
      </x:c>
      <x:c r="G18" s="23" t="str">
        <x:f>'Journal Entries'!G18</x:f>
        <x:v>Withholding tax payable:Withholding tax - Vendors</x:v>
      </x:c>
      <x:c r="H18" s="30" t="n">
        <x:f>'Journal Entries'!H18</x:f>
        <x:v>10000</x:v>
      </x:c>
      <x:c r="I18" s="30" t="n">
        <x:f>'Journal Entries'!I18</x:f>
        <x:v>0</x:v>
      </x:c>
      <x:c r="J18" s="23" t="str">
        <x:f>'Journal Entries'!J18</x:f>
        <x:v>TRUCK IT IN PVT LTD</x:v>
      </x:c>
      <x:c r="K18" s="23" t="str">
        <x:f>'Journal Entries'!K18</x:f>
        <x:v>N/A</x:v>
      </x:c>
      <x:c r="L18" s="23" t="str">
        <x:f>'Journal Entries'!L18</x:f>
        <x:v>Posted</x:v>
      </x:c>
      <x:c r="M18" s="23" t="str">
        <x:f>'Journal Entries'!M18</x:f>
        <x:v>Operating - Payments</x:v>
      </x:c>
      <x:c r="N18" s="24" t="str">
        <x:f>'Journal Entries'!N18</x:f>
        <x:v>FS-000023</x:v>
      </x:c>
    </x:row>
    <x:row r="19">
      <x:c r="A19" s="22" t="str">
        <x:f>'Journal Entries'!A19</x:f>
        <x:v>JE-009</x:v>
      </x:c>
      <x:c r="B19" s="34" t="n">
        <x:f>'Journal Entries'!B19</x:f>
        <x:v>45841</x:v>
      </x:c>
      <x:c r="C19" s="23" t="str">
        <x:f>'Journal Entries'!C19</x:f>
        <x:v>Bank Statement</x:v>
      </x:c>
      <x:c r="D19" s="23" t="str">
        <x:f>'Journal Entries'!D19</x:f>
        <x:v>B03-001</x:v>
      </x:c>
      <x:c r="E19" s="23" t="str">
        <x:f>'Journal Entries'!E19</x:f>
        <x:v>Customer collection — digital channel</x:v>
      </x:c>
      <x:c r="F19" s="23" t="str">
        <x:f>'Journal Entries'!F19</x:f>
        <x:v>1028</x:v>
      </x:c>
      <x:c r="G19" s="23" t="str">
        <x:f>'Journal Entries'!G19</x:f>
        <x:v>PK49DUIB0000000627075001</x:v>
      </x:c>
      <x:c r="H19" s="30" t="n">
        <x:f>'Journal Entries'!H19</x:f>
        <x:v>600000</x:v>
      </x:c>
      <x:c r="I19" s="30" t="n">
        <x:f>'Journal Entries'!I19</x:f>
        <x:v>0</x:v>
      </x:c>
      <x:c r="J19" s="23" t="str">
        <x:f>'Journal Entries'!J19</x:f>
        <x:v>TRUCK IT IN PVT LTD</x:v>
      </x:c>
      <x:c r="K19" s="23" t="str">
        <x:f>'Journal Entries'!K19</x:f>
        <x:v>N/A</x:v>
      </x:c>
      <x:c r="L19" s="23" t="str">
        <x:f>'Journal Entries'!L19</x:f>
        <x:v>Posted</x:v>
      </x:c>
      <x:c r="M19" s="23" t="str">
        <x:f>'Journal Entries'!M19</x:f>
        <x:v>Operating - Receipts</x:v>
      </x:c>
      <x:c r="N19" s="24" t="str">
        <x:f>'Journal Entries'!N19</x:f>
        <x:v>FS-000022</x:v>
      </x:c>
    </x:row>
    <x:row r="20">
      <x:c r="A20" s="22" t="str">
        <x:f>'Journal Entries'!A20</x:f>
        <x:v>JE-009</x:v>
      </x:c>
      <x:c r="B20" s="34" t="n">
        <x:f>'Journal Entries'!B20</x:f>
        <x:v>45841</x:v>
      </x:c>
      <x:c r="C20" s="23" t="str">
        <x:f>'Journal Entries'!C20</x:f>
        <x:v>Bank Statement</x:v>
      </x:c>
      <x:c r="D20" s="23" t="str">
        <x:f>'Journal Entries'!D20</x:f>
        <x:v>B03-001</x:v>
      </x:c>
      <x:c r="E20" s="23" t="str">
        <x:f>'Journal Entries'!E20</x:f>
        <x:v>Customer collection — digital channel</x:v>
      </x:c>
      <x:c r="F20" s="23" t="str">
        <x:f>'Journal Entries'!F20</x:f>
        <x:v>1050</x:v>
      </x:c>
      <x:c r="G20" s="23" t="str">
        <x:f>'Journal Entries'!G20</x:f>
        <x:v>Sales revenue</x:v>
      </x:c>
      <x:c r="H20" s="30" t="n">
        <x:f>'Journal Entries'!H20</x:f>
        <x:v>0</x:v>
      </x:c>
      <x:c r="I20" s="30" t="n">
        <x:f>'Journal Entries'!I20</x:f>
        <x:v>600000</x:v>
      </x:c>
      <x:c r="J20" s="23" t="str">
        <x:f>'Journal Entries'!J20</x:f>
        <x:v>TRUCK IT IN PVT LTD</x:v>
      </x:c>
      <x:c r="K20" s="23" t="str">
        <x:f>'Journal Entries'!K20</x:f>
        <x:v>N/A</x:v>
      </x:c>
      <x:c r="L20" s="23" t="str">
        <x:f>'Journal Entries'!L20</x:f>
        <x:v>Posted</x:v>
      </x:c>
      <x:c r="M20" s="23" t="str">
        <x:f>'Journal Entries'!M20</x:f>
        <x:v>Operating - Receipts</x:v>
      </x:c>
      <x:c r="N20" s="24" t="str">
        <x:f>'Journal Entries'!N20</x:f>
        <x:v>FS-000022</x:v>
      </x:c>
    </x:row>
    <x:row r="21">
      <x:c r="A21" s="22" t="str">
        <x:f>'Journal Entries'!A21</x:f>
        <x:v>JE-010</x:v>
      </x:c>
      <x:c r="B21" s="34" t="n">
        <x:f>'Journal Entries'!B21</x:f>
        <x:v>45842</x:v>
      </x:c>
      <x:c r="C21" s="23" t="str">
        <x:f>'Journal Entries'!C21</x:f>
        <x:v>Bank Statement</x:v>
      </x:c>
      <x:c r="D21" s="23" t="str">
        <x:f>'Journal Entries'!D21</x:f>
        <x:v>B03-002</x:v>
      </x:c>
      <x:c r="E21" s="23" t="str">
        <x:f>'Journal Entries'!E21</x:f>
        <x:v>Commission paid to delivery partners</x:v>
      </x:c>
      <x:c r="F21" s="23" t="str">
        <x:f>'Journal Entries'!F21</x:f>
        <x:v>1028</x:v>
      </x:c>
      <x:c r="G21" s="23" t="str">
        <x:f>'Journal Entries'!G21</x:f>
        <x:v>PK49DUIB0000000627075001</x:v>
      </x:c>
      <x:c r="H21" s="30" t="n">
        <x:f>'Journal Entries'!H21</x:f>
        <x:v>0</x:v>
      </x:c>
      <x:c r="I21" s="30" t="n">
        <x:f>'Journal Entries'!I21</x:f>
        <x:v>190000</x:v>
      </x:c>
      <x:c r="J21" s="23" t="str">
        <x:f>'Journal Entries'!J21</x:f>
        <x:v>TRUCK IT IN PVT LTD</x:v>
      </x:c>
      <x:c r="K21" s="23" t="str">
        <x:f>'Journal Entries'!K21</x:f>
        <x:v>N/A</x:v>
      </x:c>
      <x:c r="L21" s="23" t="str">
        <x:f>'Journal Entries'!L21</x:f>
        <x:v>Posted</x:v>
      </x:c>
      <x:c r="M21" s="23" t="str">
        <x:f>'Journal Entries'!M21</x:f>
        <x:v>Operating - Payments</x:v>
      </x:c>
      <x:c r="N21" s="24" t="str">
        <x:f>'Journal Entries'!N21</x:f>
        <x:v>FS-000006</x:v>
      </x:c>
    </x:row>
    <x:row r="22">
      <x:c r="A22" s="22" t="str">
        <x:f>'Journal Entries'!A22</x:f>
        <x:v>JE-010</x:v>
      </x:c>
      <x:c r="B22" s="34" t="n">
        <x:f>'Journal Entries'!B22</x:f>
        <x:v>45842</x:v>
      </x:c>
      <x:c r="C22" s="23" t="str">
        <x:f>'Journal Entries'!C22</x:f>
        <x:v>Bank Statement</x:v>
      </x:c>
      <x:c r="D22" s="23" t="str">
        <x:f>'Journal Entries'!D22</x:f>
        <x:v>B03-002</x:v>
      </x:c>
      <x:c r="E22" s="23" t="str">
        <x:f>'Journal Entries'!E22</x:f>
        <x:v>Commission paid to delivery partners</x:v>
      </x:c>
      <x:c r="F22" s="23" t="str">
        <x:f>'Journal Entries'!F22</x:f>
        <x:v>1054</x:v>
      </x:c>
      <x:c r="G22" s="23" t="str">
        <x:f>'Journal Entries'!G22</x:f>
        <x:v>Trucker's Commission</x:v>
      </x:c>
      <x:c r="H22" s="30" t="n">
        <x:f>'Journal Entries'!H22</x:f>
        <x:v>190000</x:v>
      </x:c>
      <x:c r="I22" s="30" t="n">
        <x:f>'Journal Entries'!I22</x:f>
        <x:v>0</x:v>
      </x:c>
      <x:c r="J22" s="23" t="str">
        <x:f>'Journal Entries'!J22</x:f>
        <x:v>TRUCK IT IN PVT LTD</x:v>
      </x:c>
      <x:c r="K22" s="23" t="str">
        <x:f>'Journal Entries'!K22</x:f>
        <x:v>N/A</x:v>
      </x:c>
      <x:c r="L22" s="23" t="str">
        <x:f>'Journal Entries'!L22</x:f>
        <x:v>Posted</x:v>
      </x:c>
      <x:c r="M22" s="23" t="str">
        <x:f>'Journal Entries'!M22</x:f>
        <x:v>Operating - Payments</x:v>
      </x:c>
      <x:c r="N22" s="24" t="str">
        <x:f>'Journal Entries'!N22</x:f>
        <x:v>FS-000006</x:v>
      </x:c>
    </x:row>
    <x:row r="23">
      <x:c r="A23" s="22" t="str">
        <x:f>'Journal Entries'!A23</x:f>
        <x:v>JE-011</x:v>
      </x:c>
      <x:c r="B23" s="34" t="n">
        <x:f>'Journal Entries'!B23</x:f>
        <x:v>45843</x:v>
      </x:c>
      <x:c r="C23" s="23" t="str">
        <x:f>'Journal Entries'!C23</x:f>
        <x:v>Bank Statement</x:v>
      </x:c>
      <x:c r="D23" s="23" t="str">
        <x:f>'Journal Entries'!D23</x:f>
        <x:v>B03-003</x:v>
      </x:c>
      <x:c r="E23" s="23" t="str">
        <x:f>'Journal Entries'!E23</x:f>
        <x:v>Recovery received against prior advance</x:v>
      </x:c>
      <x:c r="F23" s="23" t="str">
        <x:f>'Journal Entries'!F23</x:f>
        <x:v>1028</x:v>
      </x:c>
      <x:c r="G23" s="23" t="str">
        <x:f>'Journal Entries'!G23</x:f>
        <x:v>PK49DUIB0000000627075001</x:v>
      </x:c>
      <x:c r="H23" s="30" t="n">
        <x:f>'Journal Entries'!H23</x:f>
        <x:v>80000</x:v>
      </x:c>
      <x:c r="I23" s="30" t="n">
        <x:f>'Journal Entries'!I23</x:f>
        <x:v>0</x:v>
      </x:c>
      <x:c r="J23" s="23" t="str">
        <x:f>'Journal Entries'!J23</x:f>
        <x:v>TRUCK IT IN PVT LTD</x:v>
      </x:c>
      <x:c r="K23" s="23" t="str">
        <x:f>'Journal Entries'!K23</x:f>
        <x:v>N/A</x:v>
      </x:c>
      <x:c r="L23" s="23" t="str">
        <x:f>'Journal Entries'!L23</x:f>
        <x:v>Posted</x:v>
      </x:c>
      <x:c r="M23" s="23" t="str">
        <x:f>'Journal Entries'!M23</x:f>
        <x:v>Operating - Receipts</x:v>
      </x:c>
      <x:c r="N23" s="24" t="str">
        <x:f>'Journal Entries'!N23</x:f>
        <x:v>FS-000002</x:v>
      </x:c>
    </x:row>
    <x:row r="24">
      <x:c r="A24" s="22" t="str">
        <x:f>'Journal Entries'!A24</x:f>
        <x:v>JE-011</x:v>
      </x:c>
      <x:c r="B24" s="34" t="n">
        <x:f>'Journal Entries'!B24</x:f>
        <x:v>45843</x:v>
      </x:c>
      <x:c r="C24" s="23" t="str">
        <x:f>'Journal Entries'!C24</x:f>
        <x:v>Bank Statement</x:v>
      </x:c>
      <x:c r="D24" s="23" t="str">
        <x:f>'Journal Entries'!D24</x:f>
        <x:v>B03-003</x:v>
      </x:c>
      <x:c r="E24" s="23" t="str">
        <x:f>'Journal Entries'!E24</x:f>
        <x:v>Recovery received against prior advance</x:v>
      </x:c>
      <x:c r="F24" s="23" t="str">
        <x:f>'Journal Entries'!F24</x:f>
        <x:v>1018</x:v>
      </x:c>
      <x:c r="G24" s="23" t="str">
        <x:f>'Journal Entries'!G24</x:f>
        <x:v>Trade Debtors</x:v>
      </x:c>
      <x:c r="H24" s="30" t="n">
        <x:f>'Journal Entries'!H24</x:f>
        <x:v>0</x:v>
      </x:c>
      <x:c r="I24" s="30" t="n">
        <x:f>'Journal Entries'!I24</x:f>
        <x:v>80000</x:v>
      </x:c>
      <x:c r="J24" s="23" t="str">
        <x:f>'Journal Entries'!J24</x:f>
        <x:v>TRUCK IT IN PVT LTD</x:v>
      </x:c>
      <x:c r="K24" s="23" t="str">
        <x:f>'Journal Entries'!K24</x:f>
        <x:v>N/A</x:v>
      </x:c>
      <x:c r="L24" s="23" t="str">
        <x:f>'Journal Entries'!L24</x:f>
        <x:v>Posted</x:v>
      </x:c>
      <x:c r="M24" s="23" t="str">
        <x:f>'Journal Entries'!M24</x:f>
        <x:v>Operating - Receipts</x:v>
      </x:c>
      <x:c r="N24" s="24" t="str">
        <x:f>'Journal Entries'!N24</x:f>
        <x:v>FS-000002</x:v>
      </x:c>
    </x:row>
    <x:row r="25">
      <x:c r="A25" s="22" t="str">
        <x:f>'Journal Entries'!A25</x:f>
        <x:v>JE-012</x:v>
      </x:c>
      <x:c r="B25" s="34" t="n">
        <x:f>'Journal Entries'!B25</x:f>
        <x:v>45844</x:v>
      </x:c>
      <x:c r="C25" s="23" t="str">
        <x:f>'Journal Entries'!C25</x:f>
        <x:v>Bank Statement</x:v>
      </x:c>
      <x:c r="D25" s="23" t="str">
        <x:f>'Journal Entries'!D25</x:f>
        <x:v>TRF-03-04</x:v>
      </x:c>
      <x:c r="E25" s="23" t="str">
        <x:f>'Journal Entries'!E25</x:f>
        <x:v>Transfer to MCB Reserve</x:v>
      </x:c>
      <x:c r="F25" s="23" t="str">
        <x:f>'Journal Entries'!F25</x:f>
        <x:v>1028</x:v>
      </x:c>
      <x:c r="G25" s="23" t="str">
        <x:f>'Journal Entries'!G25</x:f>
        <x:v>PK49DUIB0000000627075001</x:v>
      </x:c>
      <x:c r="H25" s="30" t="n">
        <x:f>'Journal Entries'!H25</x:f>
        <x:v>0</x:v>
      </x:c>
      <x:c r="I25" s="30" t="n">
        <x:f>'Journal Entries'!I25</x:f>
        <x:v>250000</x:v>
      </x:c>
      <x:c r="J25" s="23" t="str">
        <x:f>'Journal Entries'!J25</x:f>
        <x:v>TRUCK IT IN PVT LTD</x:v>
      </x:c>
      <x:c r="K25" s="23" t="str">
        <x:f>'Journal Entries'!K25</x:f>
        <x:v>N/A</x:v>
      </x:c>
      <x:c r="L25" s="23" t="str">
        <x:f>'Journal Entries'!L25</x:f>
        <x:v>Posted</x:v>
      </x:c>
      <x:c r="M25" s="23" t="str">
        <x:f>'Journal Entries'!M25</x:f>
        <x:v>Transfer</x:v>
      </x:c>
      <x:c r="N25" s="24" t="str">
        <x:f>'Journal Entries'!N25</x:f>
        <x:v>FS-000020</x:v>
      </x:c>
    </x:row>
    <x:row r="26">
      <x:c r="A26" s="22" t="str">
        <x:f>'Journal Entries'!A26</x:f>
        <x:v>JE-012</x:v>
      </x:c>
      <x:c r="B26" s="34" t="n">
        <x:f>'Journal Entries'!B26</x:f>
        <x:v>45844</x:v>
      </x:c>
      <x:c r="C26" s="23" t="str">
        <x:f>'Journal Entries'!C26</x:f>
        <x:v>Bank Statement</x:v>
      </x:c>
      <x:c r="D26" s="23" t="str">
        <x:f>'Journal Entries'!D26</x:f>
        <x:v>TRF-03-04</x:v>
      </x:c>
      <x:c r="E26" s="23" t="str">
        <x:f>'Journal Entries'!E26</x:f>
        <x:v>Transfer to MCB Reserve</x:v>
      </x:c>
      <x:c r="F26" s="23" t="str">
        <x:f>'Journal Entries'!F26</x:f>
        <x:v>1031</x:v>
      </x:c>
      <x:c r="G26" s="23" t="str">
        <x:f>'Journal Entries'!G26</x:f>
        <x:v>PK75MPBL0124067140164610</x:v>
      </x:c>
      <x:c r="H26" s="30" t="n">
        <x:f>'Journal Entries'!H26</x:f>
        <x:v>250000</x:v>
      </x:c>
      <x:c r="I26" s="30" t="n">
        <x:f>'Journal Entries'!I26</x:f>
        <x:v>0</x:v>
      </x:c>
      <x:c r="J26" s="23" t="str">
        <x:f>'Journal Entries'!J26</x:f>
        <x:v>TRUCK IT IN PVT LTD</x:v>
      </x:c>
      <x:c r="K26" s="23" t="str">
        <x:f>'Journal Entries'!K26</x:f>
        <x:v>N/A</x:v>
      </x:c>
      <x:c r="L26" s="23" t="str">
        <x:f>'Journal Entries'!L26</x:f>
        <x:v>Posted</x:v>
      </x:c>
      <x:c r="M26" s="23" t="str">
        <x:f>'Journal Entries'!M26</x:f>
        <x:v>Transfer</x:v>
      </x:c>
      <x:c r="N26" s="24" t="str">
        <x:f>'Journal Entries'!N26</x:f>
        <x:v>FS-000020</x:v>
      </x:c>
    </x:row>
    <x:row r="27">
      <x:c r="A27" s="22" t="str">
        <x:f>'Journal Entries'!A27</x:f>
        <x:v>JE-013</x:v>
      </x:c>
      <x:c r="B27" s="34" t="n">
        <x:f>'Journal Entries'!B27</x:f>
        <x:v>45842</x:v>
      </x:c>
      <x:c r="C27" s="23" t="str">
        <x:f>'Journal Entries'!C27</x:f>
        <x:v>Bank Statement</x:v>
      </x:c>
      <x:c r="D27" s="23" t="str">
        <x:f>'Journal Entries'!D27</x:f>
        <x:v>TRF-03-04</x:v>
      </x:c>
      <x:c r="E27" s="23" t="str">
        <x:f>'Journal Entries'!E27</x:f>
        <x:v>Transfer received from UBL Collections</x:v>
      </x:c>
      <x:c r="F27" s="23" t="str">
        <x:f>'Journal Entries'!F27</x:f>
        <x:v>1031</x:v>
      </x:c>
      <x:c r="G27" s="23" t="str">
        <x:f>'Journal Entries'!G27</x:f>
        <x:v>PK75MPBL0124067140164610</x:v>
      </x:c>
      <x:c r="H27" s="30" t="n">
        <x:f>'Journal Entries'!H27</x:f>
        <x:v>250000</x:v>
      </x:c>
      <x:c r="I27" s="30" t="n">
        <x:f>'Journal Entries'!I27</x:f>
        <x:v>0</x:v>
      </x:c>
      <x:c r="J27" s="23" t="str">
        <x:f>'Journal Entries'!J27</x:f>
        <x:v>TRUCK IT IN PVT LTD</x:v>
      </x:c>
      <x:c r="K27" s="23" t="str">
        <x:f>'Journal Entries'!K27</x:f>
        <x:v>N/A</x:v>
      </x:c>
      <x:c r="L27" s="23" t="str">
        <x:f>'Journal Entries'!L27</x:f>
        <x:v>Posted</x:v>
      </x:c>
      <x:c r="M27" s="23" t="str">
        <x:f>'Journal Entries'!M27</x:f>
        <x:v>Transfer</x:v>
      </x:c>
      <x:c r="N27" s="24" t="str">
        <x:f>'Journal Entries'!N27</x:f>
        <x:v>FS-000020</x:v>
      </x:c>
    </x:row>
    <x:row r="28">
      <x:c r="A28" s="22" t="str">
        <x:f>'Journal Entries'!A28</x:f>
        <x:v>JE-013</x:v>
      </x:c>
      <x:c r="B28" s="34" t="n">
        <x:f>'Journal Entries'!B28</x:f>
        <x:v>45842</x:v>
      </x:c>
      <x:c r="C28" s="23" t="str">
        <x:f>'Journal Entries'!C28</x:f>
        <x:v>Bank Statement</x:v>
      </x:c>
      <x:c r="D28" s="23" t="str">
        <x:f>'Journal Entries'!D28</x:f>
        <x:v>TRF-03-04</x:v>
      </x:c>
      <x:c r="E28" s="23" t="str">
        <x:f>'Journal Entries'!E28</x:f>
        <x:v>Transfer received from UBL Collections</x:v>
      </x:c>
      <x:c r="F28" s="23" t="str">
        <x:f>'Journal Entries'!F28</x:f>
        <x:v>1028</x:v>
      </x:c>
      <x:c r="G28" s="23" t="str">
        <x:f>'Journal Entries'!G28</x:f>
        <x:v>PK49DUIB0000000627075001</x:v>
      </x:c>
      <x:c r="H28" s="30" t="n">
        <x:f>'Journal Entries'!H28</x:f>
        <x:v>0</x:v>
      </x:c>
      <x:c r="I28" s="30" t="n">
        <x:f>'Journal Entries'!I28</x:f>
        <x:v>250000</x:v>
      </x:c>
      <x:c r="J28" s="23" t="str">
        <x:f>'Journal Entries'!J28</x:f>
        <x:v>TRUCK IT IN PVT LTD</x:v>
      </x:c>
      <x:c r="K28" s="23" t="str">
        <x:f>'Journal Entries'!K28</x:f>
        <x:v>N/A</x:v>
      </x:c>
      <x:c r="L28" s="23" t="str">
        <x:f>'Journal Entries'!L28</x:f>
        <x:v>Posted</x:v>
      </x:c>
      <x:c r="M28" s="23" t="str">
        <x:f>'Journal Entries'!M28</x:f>
        <x:v>Transfer</x:v>
      </x:c>
      <x:c r="N28" s="24" t="str">
        <x:f>'Journal Entries'!N28</x:f>
        <x:v>FS-000020</x:v>
      </x:c>
    </x:row>
    <x:row r="29">
      <x:c r="A29" s="22" t="str">
        <x:f>'Journal Entries'!A29</x:f>
        <x:v>JE-014</x:v>
      </x:c>
      <x:c r="B29" s="34" t="n">
        <x:f>'Journal Entries'!B29</x:f>
        <x:v>45843</x:v>
      </x:c>
      <x:c r="C29" s="23" t="str">
        <x:f>'Journal Entries'!C29</x:f>
        <x:v>Bank Statement</x:v>
      </x:c>
      <x:c r="D29" s="23" t="str">
        <x:f>'Journal Entries'!D29</x:f>
        <x:v>B04-002</x:v>
      </x:c>
      <x:c r="E29" s="23" t="str">
        <x:f>'Journal Entries'!E29</x:f>
        <x:v>Warehouse security deposit</x:v>
      </x:c>
      <x:c r="F29" s="23" t="str">
        <x:f>'Journal Entries'!F29</x:f>
        <x:v>1031</x:v>
      </x:c>
      <x:c r="G29" s="23" t="str">
        <x:f>'Journal Entries'!G29</x:f>
        <x:v>PK75MPBL0124067140164610</x:v>
      </x:c>
      <x:c r="H29" s="30" t="n">
        <x:f>'Journal Entries'!H29</x:f>
        <x:v>0</x:v>
      </x:c>
      <x:c r="I29" s="30" t="n">
        <x:f>'Journal Entries'!I29</x:f>
        <x:v>120000</x:v>
      </x:c>
      <x:c r="J29" s="23" t="str">
        <x:f>'Journal Entries'!J29</x:f>
        <x:v>TRUCK IT IN PVT LTD</x:v>
      </x:c>
      <x:c r="K29" s="23" t="str">
        <x:f>'Journal Entries'!K29</x:f>
        <x:v>N/A</x:v>
      </x:c>
      <x:c r="L29" s="23" t="str">
        <x:f>'Journal Entries'!L29</x:f>
        <x:v>Posted</x:v>
      </x:c>
      <x:c r="M29" s="23" t="str">
        <x:f>'Journal Entries'!M29</x:f>
        <x:v>Investing - Payments</x:v>
      </x:c>
      <x:c r="N29" s="24" t="str">
        <x:f>'Journal Entries'!N29</x:f>
        <x:v>FS-000007</x:v>
      </x:c>
    </x:row>
    <x:row r="30">
      <x:c r="A30" s="22" t="str">
        <x:f>'Journal Entries'!A30</x:f>
        <x:v>JE-014</x:v>
      </x:c>
      <x:c r="B30" s="34" t="n">
        <x:f>'Journal Entries'!B30</x:f>
        <x:v>45843</x:v>
      </x:c>
      <x:c r="C30" s="23" t="str">
        <x:f>'Journal Entries'!C30</x:f>
        <x:v>Bank Statement</x:v>
      </x:c>
      <x:c r="D30" s="23" t="str">
        <x:f>'Journal Entries'!D30</x:f>
        <x:v>B04-002</x:v>
      </x:c>
      <x:c r="E30" s="23" t="str">
        <x:f>'Journal Entries'!E30</x:f>
        <x:v>Warehouse security deposit</x:v>
      </x:c>
      <x:c r="F30" s="23" t="str">
        <x:f>'Journal Entries'!F30</x:f>
        <x:v>1021</x:v>
      </x:c>
      <x:c r="G30" s="23" t="str">
        <x:f>'Journal Entries'!G30</x:f>
        <x:v>Security deposit-Office</x:v>
      </x:c>
      <x:c r="H30" s="30" t="n">
        <x:f>'Journal Entries'!H30</x:f>
        <x:v>120000</x:v>
      </x:c>
      <x:c r="I30" s="30" t="n">
        <x:f>'Journal Entries'!I30</x:f>
        <x:v>0</x:v>
      </x:c>
      <x:c r="J30" s="23" t="str">
        <x:f>'Journal Entries'!J30</x:f>
        <x:v>TRUCK IT IN PVT LTD</x:v>
      </x:c>
      <x:c r="K30" s="23" t="str">
        <x:f>'Journal Entries'!K30</x:f>
        <x:v>N/A</x:v>
      </x:c>
      <x:c r="L30" s="23" t="str">
        <x:f>'Journal Entries'!L30</x:f>
        <x:v>Posted</x:v>
      </x:c>
      <x:c r="M30" s="23" t="str">
        <x:f>'Journal Entries'!M30</x:f>
        <x:v>Investing - Payments</x:v>
      </x:c>
      <x:c r="N30" s="24" t="str">
        <x:f>'Journal Entries'!N30</x:f>
        <x:v>FS-000007</x:v>
      </x:c>
    </x:row>
    <x:row r="31">
      <x:c r="A31" s="22" t="str">
        <x:f>'Journal Entries'!A31</x:f>
        <x:v>JE-015</x:v>
      </x:c>
      <x:c r="B31" s="34" t="n">
        <x:f>'Journal Entries'!B31</x:f>
        <x:v>45844</x:v>
      </x:c>
      <x:c r="C31" s="23" t="str">
        <x:f>'Journal Entries'!C31</x:f>
        <x:v>Bank Statement</x:v>
      </x:c>
      <x:c r="D31" s="23" t="str">
        <x:f>'Journal Entries'!D31</x:f>
        <x:v>B04-003</x:v>
      </x:c>
      <x:c r="E31" s="23" t="str">
        <x:f>'Journal Entries'!E31</x:f>
        <x:v>Office rent payment</x:v>
      </x:c>
      <x:c r="F31" s="23" t="str">
        <x:f>'Journal Entries'!F31</x:f>
        <x:v>1031</x:v>
      </x:c>
      <x:c r="G31" s="23" t="str">
        <x:f>'Journal Entries'!G31</x:f>
        <x:v>PK75MPBL0124067140164610</x:v>
      </x:c>
      <x:c r="H31" s="30" t="n">
        <x:f>'Journal Entries'!H31</x:f>
        <x:v>0</x:v>
      </x:c>
      <x:c r="I31" s="30" t="n">
        <x:f>'Journal Entries'!I31</x:f>
        <x:v>90000</x:v>
      </x:c>
      <x:c r="J31" s="23" t="str">
        <x:f>'Journal Entries'!J31</x:f>
        <x:v>TRUCK IT IN PVT LTD</x:v>
      </x:c>
      <x:c r="K31" s="23" t="str">
        <x:f>'Journal Entries'!K31</x:f>
        <x:v>N/A</x:v>
      </x:c>
      <x:c r="L31" s="23" t="str">
        <x:f>'Journal Entries'!L31</x:f>
        <x:v>Posted</x:v>
      </x:c>
      <x:c r="M31" s="23" t="str">
        <x:f>'Journal Entries'!M31</x:f>
        <x:v>Operating - Payments</x:v>
      </x:c>
      <x:c r="N31" s="24" t="str">
        <x:f>'Journal Entries'!N31</x:f>
        <x:v>FS-000012</x:v>
      </x:c>
    </x:row>
    <x:row r="32">
      <x:c r="A32" s="22" t="str">
        <x:f>'Journal Entries'!A32</x:f>
        <x:v>JE-015</x:v>
      </x:c>
      <x:c r="B32" s="34" t="n">
        <x:f>'Journal Entries'!B32</x:f>
        <x:v>45844</x:v>
      </x:c>
      <x:c r="C32" s="23" t="str">
        <x:f>'Journal Entries'!C32</x:f>
        <x:v>Bank Statement</x:v>
      </x:c>
      <x:c r="D32" s="23" t="str">
        <x:f>'Journal Entries'!D32</x:f>
        <x:v>B04-003</x:v>
      </x:c>
      <x:c r="E32" s="23" t="str">
        <x:f>'Journal Entries'!E32</x:f>
        <x:v>Office rent payment</x:v>
      </x:c>
      <x:c r="F32" s="23" t="str">
        <x:f>'Journal Entries'!F32</x:f>
        <x:v>1058</x:v>
      </x:c>
      <x:c r="G32" s="23" t="str">
        <x:f>'Journal Entries'!G32</x:f>
        <x:v>Rent and utilities</x:v>
      </x:c>
      <x:c r="H32" s="30" t="n">
        <x:f>'Journal Entries'!H32</x:f>
        <x:v>90000</x:v>
      </x:c>
      <x:c r="I32" s="30" t="n">
        <x:f>'Journal Entries'!I32</x:f>
        <x:v>0</x:v>
      </x:c>
      <x:c r="J32" s="23" t="str">
        <x:f>'Journal Entries'!J32</x:f>
        <x:v>TRUCK IT IN PVT LTD</x:v>
      </x:c>
      <x:c r="K32" s="23" t="str">
        <x:f>'Journal Entries'!K32</x:f>
        <x:v>N/A</x:v>
      </x:c>
      <x:c r="L32" s="23" t="str">
        <x:f>'Journal Entries'!L32</x:f>
        <x:v>Posted</x:v>
      </x:c>
      <x:c r="M32" s="23" t="str">
        <x:f>'Journal Entries'!M32</x:f>
        <x:v>Operating - Payments</x:v>
      </x:c>
      <x:c r="N32" s="24" t="str">
        <x:f>'Journal Entries'!N32</x:f>
        <x:v>FS-000012</x:v>
      </x:c>
    </x:row>
    <x:row r="33">
      <x:c r="A33" s="22" t="str">
        <x:f>'Journal Entries'!A33</x:f>
        <x:v>JE-016</x:v>
      </x:c>
      <x:c r="B33" s="34" t="n">
        <x:f>'Journal Entries'!B33</x:f>
        <x:v>45845</x:v>
      </x:c>
      <x:c r="C33" s="23" t="str">
        <x:f>'Journal Entries'!C33</x:f>
        <x:v>Bank Statement</x:v>
      </x:c>
      <x:c r="D33" s="23" t="str">
        <x:f>'Journal Entries'!D33</x:f>
        <x:v>B04-004</x:v>
      </x:c>
      <x:c r="E33" s="23" t="str">
        <x:f>'Journal Entries'!E33</x:f>
        <x:v>Bank profit credited</x:v>
      </x:c>
      <x:c r="F33" s="23" t="str">
        <x:f>'Journal Entries'!F33</x:f>
        <x:v>1031</x:v>
      </x:c>
      <x:c r="G33" s="23" t="str">
        <x:f>'Journal Entries'!G33</x:f>
        <x:v>PK75MPBL0124067140164610</x:v>
      </x:c>
      <x:c r="H33" s="30" t="n">
        <x:f>'Journal Entries'!H33</x:f>
        <x:v>14000</x:v>
      </x:c>
      <x:c r="I33" s="30" t="n">
        <x:f>'Journal Entries'!I33</x:f>
        <x:v>0</x:v>
      </x:c>
      <x:c r="J33" s="23" t="str">
        <x:f>'Journal Entries'!J33</x:f>
        <x:v>TRUCK IT IN PVT LTD</x:v>
      </x:c>
      <x:c r="K33" s="23" t="str">
        <x:f>'Journal Entries'!K33</x:f>
        <x:v>N/A</x:v>
      </x:c>
      <x:c r="L33" s="23" t="str">
        <x:f>'Journal Entries'!L33</x:f>
        <x:v>Posted</x:v>
      </x:c>
      <x:c r="M33" s="23" t="str">
        <x:f>'Journal Entries'!M33</x:f>
        <x:v>Operating - Receipts</x:v>
      </x:c>
      <x:c r="N33" s="24" t="str">
        <x:f>'Journal Entries'!N33</x:f>
        <x:v>FS-000013</x:v>
      </x:c>
    </x:row>
    <x:row r="34">
      <x:c r="A34" s="22" t="str">
        <x:f>'Journal Entries'!A34</x:f>
        <x:v>JE-016</x:v>
      </x:c>
      <x:c r="B34" s="34" t="n">
        <x:f>'Journal Entries'!B34</x:f>
        <x:v>45845</x:v>
      </x:c>
      <x:c r="C34" s="23" t="str">
        <x:f>'Journal Entries'!C34</x:f>
        <x:v>Bank Statement</x:v>
      </x:c>
      <x:c r="D34" s="23" t="str">
        <x:f>'Journal Entries'!D34</x:f>
        <x:v>B04-004</x:v>
      </x:c>
      <x:c r="E34" s="23" t="str">
        <x:f>'Journal Entries'!E34</x:f>
        <x:v>Bank profit credited</x:v>
      </x:c>
      <x:c r="F34" s="23" t="str">
        <x:f>'Journal Entries'!F34</x:f>
        <x:v>1066</x:v>
      </x:c>
      <x:c r="G34" s="23" t="str">
        <x:f>'Journal Entries'!G34</x:f>
        <x:v>Profit on PLS</x:v>
      </x:c>
      <x:c r="H34" s="30" t="n">
        <x:f>'Journal Entries'!H34</x:f>
        <x:v>0</x:v>
      </x:c>
      <x:c r="I34" s="30" t="n">
        <x:f>'Journal Entries'!I34</x:f>
        <x:v>14000</x:v>
      </x:c>
      <x:c r="J34" s="23" t="str">
        <x:f>'Journal Entries'!J34</x:f>
        <x:v>TRUCK IT IN PVT LTD</x:v>
      </x:c>
      <x:c r="K34" s="23" t="str">
        <x:f>'Journal Entries'!K34</x:f>
        <x:v>N/A</x:v>
      </x:c>
      <x:c r="L34" s="23" t="str">
        <x:f>'Journal Entries'!L34</x:f>
        <x:v>Posted</x:v>
      </x:c>
      <x:c r="M34" s="23" t="str">
        <x:f>'Journal Entries'!M34</x:f>
        <x:v>Operating - Receipts</x:v>
      </x:c>
      <x:c r="N34" s="24" t="str">
        <x:f>'Journal Entries'!N34</x:f>
        <x:v>FS-000013</x:v>
      </x:c>
    </x:row>
    <x:row r="35">
      <x:c r="A35" s="22" t="str">
        <x:f>'Journal Entries'!A35</x:f>
        <x:v>JE-017</x:v>
      </x:c>
      <x:c r="B35" s="34" t="n">
        <x:f>'Journal Entries'!B35</x:f>
        <x:v>45846</x:v>
      </x:c>
      <x:c r="C35" s="23" t="str">
        <x:f>'Journal Entries'!C35</x:f>
        <x:v>Bank Statement</x:v>
      </x:c>
      <x:c r="D35" s="23" t="str">
        <x:f>'Journal Entries'!D35</x:f>
        <x:v>B04-005</x:v>
      </x:c>
      <x:c r="E35" s="23" t="str">
        <x:f>'Journal Entries'!E35</x:f>
        <x:v>Withholding tax on bank profit</x:v>
      </x:c>
      <x:c r="F35" s="23" t="str">
        <x:f>'Journal Entries'!F35</x:f>
        <x:v>1031</x:v>
      </x:c>
      <x:c r="G35" s="23" t="str">
        <x:f>'Journal Entries'!G35</x:f>
        <x:v>PK75MPBL0124067140164610</x:v>
      </x:c>
      <x:c r="H35" s="30" t="n">
        <x:f>'Journal Entries'!H35</x:f>
        <x:v>0</x:v>
      </x:c>
      <x:c r="I35" s="30" t="n">
        <x:f>'Journal Entries'!I35</x:f>
        <x:v>2000</x:v>
      </x:c>
      <x:c r="J35" s="23" t="str">
        <x:f>'Journal Entries'!J35</x:f>
        <x:v>TRUCK IT IN PVT LTD</x:v>
      </x:c>
      <x:c r="K35" s="23" t="str">
        <x:f>'Journal Entries'!K35</x:f>
        <x:v>N/A</x:v>
      </x:c>
      <x:c r="L35" s="23" t="str">
        <x:f>'Journal Entries'!L35</x:f>
        <x:v>Posted</x:v>
      </x:c>
      <x:c r="M35" s="23" t="str">
        <x:f>'Journal Entries'!M35</x:f>
        <x:v>Operating - Payments</x:v>
      </x:c>
      <x:c r="N35" s="24" t="str">
        <x:f>'Journal Entries'!N35</x:f>
        <x:v>FS-000014</x:v>
      </x:c>
    </x:row>
    <x:row r="36">
      <x:c r="A36" s="22" t="str">
        <x:f>'Journal Entries'!A36</x:f>
        <x:v>JE-017</x:v>
      </x:c>
      <x:c r="B36" s="34" t="n">
        <x:f>'Journal Entries'!B36</x:f>
        <x:v>45846</x:v>
      </x:c>
      <x:c r="C36" s="23" t="str">
        <x:f>'Journal Entries'!C36</x:f>
        <x:v>Bank Statement</x:v>
      </x:c>
      <x:c r="D36" s="23" t="str">
        <x:f>'Journal Entries'!D36</x:f>
        <x:v>B04-005</x:v>
      </x:c>
      <x:c r="E36" s="23" t="str">
        <x:f>'Journal Entries'!E36</x:f>
        <x:v>Withholding tax on bank profit</x:v>
      </x:c>
      <x:c r="F36" s="23" t="str">
        <x:f>'Journal Entries'!F36</x:f>
        <x:v>1045</x:v>
      </x:c>
      <x:c r="G36" s="23" t="str">
        <x:f>'Journal Entries'!G36</x:f>
        <x:v>WHT on Bank Profit</x:v>
      </x:c>
      <x:c r="H36" s="30" t="n">
        <x:f>'Journal Entries'!H36</x:f>
        <x:v>2000</x:v>
      </x:c>
      <x:c r="I36" s="30" t="n">
        <x:f>'Journal Entries'!I36</x:f>
        <x:v>0</x:v>
      </x:c>
      <x:c r="J36" s="23" t="str">
        <x:f>'Journal Entries'!J36</x:f>
        <x:v>TRUCK IT IN PVT LTD</x:v>
      </x:c>
      <x:c r="K36" s="23" t="str">
        <x:f>'Journal Entries'!K36</x:f>
        <x:v>N/A</x:v>
      </x:c>
      <x:c r="L36" s="23" t="str">
        <x:f>'Journal Entries'!L36</x:f>
        <x:v>Posted</x:v>
      </x:c>
      <x:c r="M36" s="23" t="str">
        <x:f>'Journal Entries'!M36</x:f>
        <x:v>Operating - Payments</x:v>
      </x:c>
      <x:c r="N36" s="24" t="str">
        <x:f>'Journal Entries'!N36</x:f>
        <x:v>FS-000014</x:v>
      </x:c>
    </x:row>
    <x:row r="37">
      <x:c r="A37" s="22" t="str">
        <x:f>'Journal Entries'!A37</x:f>
        <x:v>JE-018</x:v>
      </x:c>
      <x:c r="B37" s="34" t="n">
        <x:f>'Journal Entries'!B37</x:f>
        <x:v>45843</x:v>
      </x:c>
      <x:c r="C37" s="23" t="str">
        <x:f>'Journal Entries'!C37</x:f>
        <x:v>Bank Statement</x:v>
      </x:c>
      <x:c r="D37" s="23" t="str">
        <x:f>'Journal Entries'!D37</x:f>
        <x:v>B05-001</x:v>
      </x:c>
      <x:c r="E37" s="23" t="str">
        <x:f>'Journal Entries'!E37</x:f>
        <x:v>Customer collection — northern region</x:v>
      </x:c>
      <x:c r="F37" s="23" t="str">
        <x:f>'Journal Entries'!F37</x:f>
        <x:v>1029</x:v>
      </x:c>
      <x:c r="G37" s="23" t="str">
        <x:f>'Journal Entries'!G37</x:f>
        <x:v>PK55HABB0022827200508103</x:v>
      </x:c>
      <x:c r="H37" s="30" t="n">
        <x:f>'Journal Entries'!H37</x:f>
        <x:v>750000</x:v>
      </x:c>
      <x:c r="I37" s="30" t="n">
        <x:f>'Journal Entries'!I37</x:f>
        <x:v>0</x:v>
      </x:c>
      <x:c r="J37" s="23" t="str">
        <x:f>'Journal Entries'!J37</x:f>
        <x:v>TRUCK IT IN PVT LTD</x:v>
      </x:c>
      <x:c r="K37" s="23" t="str">
        <x:f>'Journal Entries'!K37</x:f>
        <x:v>N/A</x:v>
      </x:c>
      <x:c r="L37" s="23" t="str">
        <x:f>'Journal Entries'!L37</x:f>
        <x:v>Posted</x:v>
      </x:c>
      <x:c r="M37" s="23" t="str">
        <x:f>'Journal Entries'!M37</x:f>
        <x:v>Operating - Receipts</x:v>
      </x:c>
      <x:c r="N37" s="24" t="str">
        <x:f>'Journal Entries'!N37</x:f>
        <x:v>FS-000022</x:v>
      </x:c>
    </x:row>
    <x:row r="38">
      <x:c r="A38" s="22" t="str">
        <x:f>'Journal Entries'!A38</x:f>
        <x:v>JE-018</x:v>
      </x:c>
      <x:c r="B38" s="34" t="n">
        <x:f>'Journal Entries'!B38</x:f>
        <x:v>45843</x:v>
      </x:c>
      <x:c r="C38" s="23" t="str">
        <x:f>'Journal Entries'!C38</x:f>
        <x:v>Bank Statement</x:v>
      </x:c>
      <x:c r="D38" s="23" t="str">
        <x:f>'Journal Entries'!D38</x:f>
        <x:v>B05-001</x:v>
      </x:c>
      <x:c r="E38" s="23" t="str">
        <x:f>'Journal Entries'!E38</x:f>
        <x:v>Customer collection — northern region</x:v>
      </x:c>
      <x:c r="F38" s="23" t="str">
        <x:f>'Journal Entries'!F38</x:f>
        <x:v>1050</x:v>
      </x:c>
      <x:c r="G38" s="23" t="str">
        <x:f>'Journal Entries'!G38</x:f>
        <x:v>Sales revenue</x:v>
      </x:c>
      <x:c r="H38" s="30" t="n">
        <x:f>'Journal Entries'!H38</x:f>
        <x:v>0</x:v>
      </x:c>
      <x:c r="I38" s="30" t="n">
        <x:f>'Journal Entries'!I38</x:f>
        <x:v>750000</x:v>
      </x:c>
      <x:c r="J38" s="23" t="str">
        <x:f>'Journal Entries'!J38</x:f>
        <x:v>TRUCK IT IN PVT LTD</x:v>
      </x:c>
      <x:c r="K38" s="23" t="str">
        <x:f>'Journal Entries'!K38</x:f>
        <x:v>N/A</x:v>
      </x:c>
      <x:c r="L38" s="23" t="str">
        <x:f>'Journal Entries'!L38</x:f>
        <x:v>Posted</x:v>
      </x:c>
      <x:c r="M38" s="23" t="str">
        <x:f>'Journal Entries'!M38</x:f>
        <x:v>Operating - Receipts</x:v>
      </x:c>
      <x:c r="N38" s="24" t="str">
        <x:f>'Journal Entries'!N38</x:f>
        <x:v>FS-000022</x:v>
      </x:c>
    </x:row>
    <x:row r="39">
      <x:c r="A39" s="22" t="str">
        <x:f>'Journal Entries'!A39</x:f>
        <x:v>JE-019</x:v>
      </x:c>
      <x:c r="B39" s="34" t="n">
        <x:f>'Journal Entries'!B39</x:f>
        <x:v>45844</x:v>
      </x:c>
      <x:c r="C39" s="23" t="str">
        <x:f>'Journal Entries'!C39</x:f>
        <x:v>Bank Statement</x:v>
      </x:c>
      <x:c r="D39" s="23" t="str">
        <x:f>'Journal Entries'!D39</x:f>
        <x:v>B05-002</x:v>
      </x:c>
      <x:c r="E39" s="23" t="str">
        <x:f>'Journal Entries'!E39</x:f>
        <x:v>Offline marketing campaign</x:v>
      </x:c>
      <x:c r="F39" s="23" t="str">
        <x:f>'Journal Entries'!F39</x:f>
        <x:v>1029</x:v>
      </x:c>
      <x:c r="G39" s="23" t="str">
        <x:f>'Journal Entries'!G39</x:f>
        <x:v>PK55HABB0022827200508103</x:v>
      </x:c>
      <x:c r="H39" s="30" t="n">
        <x:f>'Journal Entries'!H39</x:f>
        <x:v>0</x:v>
      </x:c>
      <x:c r="I39" s="30" t="n">
        <x:f>'Journal Entries'!I39</x:f>
        <x:v>110000</x:v>
      </x:c>
      <x:c r="J39" s="23" t="str">
        <x:f>'Journal Entries'!J39</x:f>
        <x:v>TRUCK IT IN PVT LTD</x:v>
      </x:c>
      <x:c r="K39" s="23" t="str">
        <x:f>'Journal Entries'!K39</x:f>
        <x:v>N/A</x:v>
      </x:c>
      <x:c r="L39" s="23" t="str">
        <x:f>'Journal Entries'!L39</x:f>
        <x:v>Posted</x:v>
      </x:c>
      <x:c r="M39" s="23" t="str">
        <x:f>'Journal Entries'!M39</x:f>
        <x:v>Operating - Payments</x:v>
      </x:c>
      <x:c r="N39" s="24" t="str">
        <x:f>'Journal Entries'!N39</x:f>
        <x:v>FS-000016</x:v>
      </x:c>
    </x:row>
    <x:row r="40">
      <x:c r="A40" s="22" t="str">
        <x:f>'Journal Entries'!A40</x:f>
        <x:v>JE-019</x:v>
      </x:c>
      <x:c r="B40" s="34" t="n">
        <x:f>'Journal Entries'!B40</x:f>
        <x:v>45844</x:v>
      </x:c>
      <x:c r="C40" s="23" t="str">
        <x:f>'Journal Entries'!C40</x:f>
        <x:v>Bank Statement</x:v>
      </x:c>
      <x:c r="D40" s="23" t="str">
        <x:f>'Journal Entries'!D40</x:f>
        <x:v>B05-002</x:v>
      </x:c>
      <x:c r="E40" s="23" t="str">
        <x:f>'Journal Entries'!E40</x:f>
        <x:v>Offline marketing campaign</x:v>
      </x:c>
      <x:c r="F40" s="23" t="str">
        <x:f>'Journal Entries'!F40</x:f>
        <x:v>1061</x:v>
      </x:c>
      <x:c r="G40" s="23" t="str">
        <x:f>'Journal Entries'!G40</x:f>
        <x:v>Offline marketing and channel</x:v>
      </x:c>
      <x:c r="H40" s="30" t="n">
        <x:f>'Journal Entries'!H40</x:f>
        <x:v>110000</x:v>
      </x:c>
      <x:c r="I40" s="30" t="n">
        <x:f>'Journal Entries'!I40</x:f>
        <x:v>0</x:v>
      </x:c>
      <x:c r="J40" s="23" t="str">
        <x:f>'Journal Entries'!J40</x:f>
        <x:v>TRUCK IT IN PVT LTD</x:v>
      </x:c>
      <x:c r="K40" s="23" t="str">
        <x:f>'Journal Entries'!K40</x:f>
        <x:v>N/A</x:v>
      </x:c>
      <x:c r="L40" s="23" t="str">
        <x:f>'Journal Entries'!L40</x:f>
        <x:v>Posted</x:v>
      </x:c>
      <x:c r="M40" s="23" t="str">
        <x:f>'Journal Entries'!M40</x:f>
        <x:v>Operating - Payments</x:v>
      </x:c>
      <x:c r="N40" s="24" t="str">
        <x:f>'Journal Entries'!N40</x:f>
        <x:v>FS-000016</x:v>
      </x:c>
    </x:row>
    <x:row r="41">
      <x:c r="A41" s="22" t="str">
        <x:f>'Journal Entries'!A41</x:f>
        <x:v>JE-020</x:v>
      </x:c>
      <x:c r="B41" s="34" t="n">
        <x:f>'Journal Entries'!B41</x:f>
        <x:v>45845</x:v>
      </x:c>
      <x:c r="C41" s="23" t="str">
        <x:f>'Journal Entries'!C41</x:f>
        <x:v>Bank Statement</x:v>
      </x:c>
      <x:c r="D41" s="23" t="str">
        <x:f>'Journal Entries'!D41</x:f>
        <x:v>B05-003</x:v>
      </x:c>
      <x:c r="E41" s="23" t="str">
        <x:f>'Journal Entries'!E41</x:f>
        <x:v>Professional services fee</x:v>
      </x:c>
      <x:c r="F41" s="23" t="str">
        <x:f>'Journal Entries'!F41</x:f>
        <x:v>1029</x:v>
      </x:c>
      <x:c r="G41" s="23" t="str">
        <x:f>'Journal Entries'!G41</x:f>
        <x:v>PK55HABB0022827200508103</x:v>
      </x:c>
      <x:c r="H41" s="30" t="n">
        <x:f>'Journal Entries'!H41</x:f>
        <x:v>0</x:v>
      </x:c>
      <x:c r="I41" s="30" t="n">
        <x:f>'Journal Entries'!I41</x:f>
        <x:v>95000</x:v>
      </x:c>
      <x:c r="J41" s="23" t="str">
        <x:f>'Journal Entries'!J41</x:f>
        <x:v>TRUCK IT IN PVT LTD</x:v>
      </x:c>
      <x:c r="K41" s="23" t="str">
        <x:f>'Journal Entries'!K41</x:f>
        <x:v>N/A</x:v>
      </x:c>
      <x:c r="L41" s="23" t="str">
        <x:f>'Journal Entries'!L41</x:f>
        <x:v>Posted</x:v>
      </x:c>
      <x:c r="M41" s="23" t="str">
        <x:f>'Journal Entries'!M41</x:f>
        <x:v>Operating - Payments</x:v>
      </x:c>
      <x:c r="N41" s="24" t="str">
        <x:f>'Journal Entries'!N41</x:f>
        <x:v>FS-000015</x:v>
      </x:c>
    </x:row>
    <x:row r="42">
      <x:c r="A42" s="22" t="str">
        <x:f>'Journal Entries'!A42</x:f>
        <x:v>JE-020</x:v>
      </x:c>
      <x:c r="B42" s="34" t="n">
        <x:f>'Journal Entries'!B42</x:f>
        <x:v>45845</x:v>
      </x:c>
      <x:c r="C42" s="23" t="str">
        <x:f>'Journal Entries'!C42</x:f>
        <x:v>Bank Statement</x:v>
      </x:c>
      <x:c r="D42" s="23" t="str">
        <x:f>'Journal Entries'!D42</x:f>
        <x:v>B05-003</x:v>
      </x:c>
      <x:c r="E42" s="23" t="str">
        <x:f>'Journal Entries'!E42</x:f>
        <x:v>Professional services fee</x:v>
      </x:c>
      <x:c r="F42" s="23" t="str">
        <x:f>'Journal Entries'!F42</x:f>
        <x:v>1060</x:v>
      </x:c>
      <x:c r="G42" s="23" t="str">
        <x:f>'Journal Entries'!G42</x:f>
        <x:v>LEGAL &amp; PROFESSIONAL FEE</x:v>
      </x:c>
      <x:c r="H42" s="30" t="n">
        <x:f>'Journal Entries'!H42</x:f>
        <x:v>95000</x:v>
      </x:c>
      <x:c r="I42" s="30" t="n">
        <x:f>'Journal Entries'!I42</x:f>
        <x:v>0</x:v>
      </x:c>
      <x:c r="J42" s="23" t="str">
        <x:f>'Journal Entries'!J42</x:f>
        <x:v>TRUCK IT IN PVT LTD</x:v>
      </x:c>
      <x:c r="K42" s="23" t="str">
        <x:f>'Journal Entries'!K42</x:f>
        <x:v>N/A</x:v>
      </x:c>
      <x:c r="L42" s="23" t="str">
        <x:f>'Journal Entries'!L42</x:f>
        <x:v>Posted</x:v>
      </x:c>
      <x:c r="M42" s="23" t="str">
        <x:f>'Journal Entries'!M42</x:f>
        <x:v>Operating - Payments</x:v>
      </x:c>
      <x:c r="N42" s="24" t="str">
        <x:f>'Journal Entries'!N42</x:f>
        <x:v>FS-000015</x:v>
      </x:c>
    </x:row>
    <x:row r="43">
      <x:c r="A43" s="22" t="str">
        <x:f>'Journal Entries'!A43</x:f>
        <x:v>JE-021</x:v>
      </x:c>
      <x:c r="B43" s="34" t="n">
        <x:f>'Journal Entries'!B43</x:f>
        <x:v>45846</x:v>
      </x:c>
      <x:c r="C43" s="23" t="str">
        <x:f>'Journal Entries'!C43</x:f>
        <x:v>Bank Statement</x:v>
      </x:c>
      <x:c r="D43" s="23" t="str">
        <x:f>'Journal Entries'!D43</x:f>
        <x:v>TRF-05-06</x:v>
      </x:c>
      <x:c r="E43" s="23" t="str">
        <x:f>'Journal Entries'!E43</x:f>
        <x:v>Transfer to Meezan Corporate</x:v>
      </x:c>
      <x:c r="F43" s="23" t="str">
        <x:f>'Journal Entries'!F43</x:f>
        <x:v>1029</x:v>
      </x:c>
      <x:c r="G43" s="23" t="str">
        <x:f>'Journal Entries'!G43</x:f>
        <x:v>PK55HABB0022827200508103</x:v>
      </x:c>
      <x:c r="H43" s="30" t="n">
        <x:f>'Journal Entries'!H43</x:f>
        <x:v>0</x:v>
      </x:c>
      <x:c r="I43" s="30" t="n">
        <x:f>'Journal Entries'!I43</x:f>
        <x:v>250000</x:v>
      </x:c>
      <x:c r="J43" s="23" t="str">
        <x:f>'Journal Entries'!J43</x:f>
        <x:v>TRUCK IT IN PVT LTD</x:v>
      </x:c>
      <x:c r="K43" s="23" t="str">
        <x:f>'Journal Entries'!K43</x:f>
        <x:v>N/A</x:v>
      </x:c>
      <x:c r="L43" s="23" t="str">
        <x:f>'Journal Entries'!L43</x:f>
        <x:v>Posted</x:v>
      </x:c>
      <x:c r="M43" s="23" t="str">
        <x:f>'Journal Entries'!M43</x:f>
        <x:v>Transfer</x:v>
      </x:c>
      <x:c r="N43" s="24" t="str">
        <x:f>'Journal Entries'!N43</x:f>
        <x:v>FS-000020</x:v>
      </x:c>
    </x:row>
    <x:row r="44">
      <x:c r="A44" s="22" t="str">
        <x:f>'Journal Entries'!A44</x:f>
        <x:v>JE-021</x:v>
      </x:c>
      <x:c r="B44" s="34" t="n">
        <x:f>'Journal Entries'!B44</x:f>
        <x:v>45846</x:v>
      </x:c>
      <x:c r="C44" s="23" t="str">
        <x:f>'Journal Entries'!C44</x:f>
        <x:v>Bank Statement</x:v>
      </x:c>
      <x:c r="D44" s="23" t="str">
        <x:f>'Journal Entries'!D44</x:f>
        <x:v>TRF-05-06</x:v>
      </x:c>
      <x:c r="E44" s="23" t="str">
        <x:f>'Journal Entries'!E44</x:f>
        <x:v>Transfer to Meezan Corporate</x:v>
      </x:c>
      <x:c r="F44" s="23" t="str">
        <x:f>'Journal Entries'!F44</x:f>
        <x:v>1030</x:v>
      </x:c>
      <x:c r="G44" s="23" t="str">
        <x:f>'Journal Entries'!G44</x:f>
        <x:v>PK24MEZN0001110107095251</x:v>
      </x:c>
      <x:c r="H44" s="30" t="n">
        <x:f>'Journal Entries'!H44</x:f>
        <x:v>250000</x:v>
      </x:c>
      <x:c r="I44" s="30" t="n">
        <x:f>'Journal Entries'!I44</x:f>
        <x:v>0</x:v>
      </x:c>
      <x:c r="J44" s="23" t="str">
        <x:f>'Journal Entries'!J44</x:f>
        <x:v>TRUCK IT IN PVT LTD</x:v>
      </x:c>
      <x:c r="K44" s="23" t="str">
        <x:f>'Journal Entries'!K44</x:f>
        <x:v>N/A</x:v>
      </x:c>
      <x:c r="L44" s="23" t="str">
        <x:f>'Journal Entries'!L44</x:f>
        <x:v>Posted</x:v>
      </x:c>
      <x:c r="M44" s="23" t="str">
        <x:f>'Journal Entries'!M44</x:f>
        <x:v>Transfer</x:v>
      </x:c>
      <x:c r="N44" s="24" t="str">
        <x:f>'Journal Entries'!N44</x:f>
        <x:v>FS-000020</x:v>
      </x:c>
    </x:row>
    <x:row r="45">
      <x:c r="A45" s="22" t="str">
        <x:f>'Journal Entries'!A45</x:f>
        <x:v>JE-022</x:v>
      </x:c>
      <x:c r="B45" s="34" t="n">
        <x:f>'Journal Entries'!B45</x:f>
        <x:v>45844</x:v>
      </x:c>
      <x:c r="C45" s="23" t="str">
        <x:f>'Journal Entries'!C45</x:f>
        <x:v>Bank Statement</x:v>
      </x:c>
      <x:c r="D45" s="23" t="str">
        <x:f>'Journal Entries'!D45</x:f>
        <x:v>TRF-05-06</x:v>
      </x:c>
      <x:c r="E45" s="23" t="str">
        <x:f>'Journal Entries'!E45</x:f>
        <x:v>Transfer received from HBL North</x:v>
      </x:c>
      <x:c r="F45" s="23" t="str">
        <x:f>'Journal Entries'!F45</x:f>
        <x:v>1030</x:v>
      </x:c>
      <x:c r="G45" s="23" t="str">
        <x:f>'Journal Entries'!G45</x:f>
        <x:v>PK24MEZN0001110107095251</x:v>
      </x:c>
      <x:c r="H45" s="30" t="n">
        <x:f>'Journal Entries'!H45</x:f>
        <x:v>250000</x:v>
      </x:c>
      <x:c r="I45" s="30" t="n">
        <x:f>'Journal Entries'!I45</x:f>
        <x:v>0</x:v>
      </x:c>
      <x:c r="J45" s="23" t="str">
        <x:f>'Journal Entries'!J45</x:f>
        <x:v>TRUCK IT IN PVT LTD</x:v>
      </x:c>
      <x:c r="K45" s="23" t="str">
        <x:f>'Journal Entries'!K45</x:f>
        <x:v>N/A</x:v>
      </x:c>
      <x:c r="L45" s="23" t="str">
        <x:f>'Journal Entries'!L45</x:f>
        <x:v>Posted</x:v>
      </x:c>
      <x:c r="M45" s="23" t="str">
        <x:f>'Journal Entries'!M45</x:f>
        <x:v>Transfer</x:v>
      </x:c>
      <x:c r="N45" s="24" t="str">
        <x:f>'Journal Entries'!N45</x:f>
        <x:v>FS-000020</x:v>
      </x:c>
    </x:row>
    <x:row r="46">
      <x:c r="A46" s="22" t="str">
        <x:f>'Journal Entries'!A46</x:f>
        <x:v>JE-022</x:v>
      </x:c>
      <x:c r="B46" s="34" t="n">
        <x:f>'Journal Entries'!B46</x:f>
        <x:v>45844</x:v>
      </x:c>
      <x:c r="C46" s="23" t="str">
        <x:f>'Journal Entries'!C46</x:f>
        <x:v>Bank Statement</x:v>
      </x:c>
      <x:c r="D46" s="23" t="str">
        <x:f>'Journal Entries'!D46</x:f>
        <x:v>TRF-05-06</x:v>
      </x:c>
      <x:c r="E46" s="23" t="str">
        <x:f>'Journal Entries'!E46</x:f>
        <x:v>Transfer received from HBL North</x:v>
      </x:c>
      <x:c r="F46" s="23" t="str">
        <x:f>'Journal Entries'!F46</x:f>
        <x:v>1029</x:v>
      </x:c>
      <x:c r="G46" s="23" t="str">
        <x:f>'Journal Entries'!G46</x:f>
        <x:v>PK55HABB0022827200508103</x:v>
      </x:c>
      <x:c r="H46" s="30" t="n">
        <x:f>'Journal Entries'!H46</x:f>
        <x:v>0</x:v>
      </x:c>
      <x:c r="I46" s="30" t="n">
        <x:f>'Journal Entries'!I46</x:f>
        <x:v>250000</x:v>
      </x:c>
      <x:c r="J46" s="23" t="str">
        <x:f>'Journal Entries'!J46</x:f>
        <x:v>TRUCK IT IN PVT LTD</x:v>
      </x:c>
      <x:c r="K46" s="23" t="str">
        <x:f>'Journal Entries'!K46</x:f>
        <x:v>N/A</x:v>
      </x:c>
      <x:c r="L46" s="23" t="str">
        <x:f>'Journal Entries'!L46</x:f>
        <x:v>Posted</x:v>
      </x:c>
      <x:c r="M46" s="23" t="str">
        <x:f>'Journal Entries'!M46</x:f>
        <x:v>Transfer</x:v>
      </x:c>
      <x:c r="N46" s="24" t="str">
        <x:f>'Journal Entries'!N46</x:f>
        <x:v>FS-000020</x:v>
      </x:c>
    </x:row>
    <x:row r="47">
      <x:c r="A47" s="22" t="str">
        <x:f>'Journal Entries'!A47</x:f>
        <x:v>JE-023</x:v>
      </x:c>
      <x:c r="B47" s="34" t="n">
        <x:f>'Journal Entries'!B47</x:f>
        <x:v>45845</x:v>
      </x:c>
      <x:c r="C47" s="23" t="str">
        <x:f>'Journal Entries'!C47</x:f>
        <x:v>Bank Statement</x:v>
      </x:c>
      <x:c r="D47" s="23" t="str">
        <x:f>'Journal Entries'!D47</x:f>
        <x:v>B06-002</x:v>
      </x:c>
      <x:c r="E47" s="23" t="str">
        <x:f>'Journal Entries'!E47</x:f>
        <x:v>Payroll disbursement — operations</x:v>
      </x:c>
      <x:c r="F47" s="23" t="str">
        <x:f>'Journal Entries'!F47</x:f>
        <x:v>1030</x:v>
      </x:c>
      <x:c r="G47" s="23" t="str">
        <x:f>'Journal Entries'!G47</x:f>
        <x:v>PK24MEZN0001110107095251</x:v>
      </x:c>
      <x:c r="H47" s="30" t="n">
        <x:f>'Journal Entries'!H47</x:f>
        <x:v>0</x:v>
      </x:c>
      <x:c r="I47" s="30" t="n">
        <x:f>'Journal Entries'!I47</x:f>
        <x:v>180000</x:v>
      </x:c>
      <x:c r="J47" s="23" t="str">
        <x:f>'Journal Entries'!J47</x:f>
        <x:v>TRUCK IT IN PVT LTD</x:v>
      </x:c>
      <x:c r="K47" s="23" t="str">
        <x:f>'Journal Entries'!K47</x:f>
        <x:v>N/A</x:v>
      </x:c>
      <x:c r="L47" s="23" t="str">
        <x:f>'Journal Entries'!L47</x:f>
        <x:v>Posted</x:v>
      </x:c>
      <x:c r="M47" s="23" t="str">
        <x:f>'Journal Entries'!M47</x:f>
        <x:v>Operating - Payments</x:v>
      </x:c>
      <x:c r="N47" s="24" t="str">
        <x:f>'Journal Entries'!N47</x:f>
        <x:v>FS-000010</x:v>
      </x:c>
    </x:row>
    <x:row r="48">
      <x:c r="A48" s="22" t="str">
        <x:f>'Journal Entries'!A48</x:f>
        <x:v>JE-023</x:v>
      </x:c>
      <x:c r="B48" s="34" t="n">
        <x:f>'Journal Entries'!B48</x:f>
        <x:v>45845</x:v>
      </x:c>
      <x:c r="C48" s="23" t="str">
        <x:f>'Journal Entries'!C48</x:f>
        <x:v>Bank Statement</x:v>
      </x:c>
      <x:c r="D48" s="23" t="str">
        <x:f>'Journal Entries'!D48</x:f>
        <x:v>B06-002</x:v>
      </x:c>
      <x:c r="E48" s="23" t="str">
        <x:f>'Journal Entries'!E48</x:f>
        <x:v>Payroll disbursement — operations</x:v>
      </x:c>
      <x:c r="F48" s="23" t="str">
        <x:f>'Journal Entries'!F48</x:f>
        <x:v>1056</x:v>
      </x:c>
      <x:c r="G48" s="23" t="str">
        <x:f>'Journal Entries'!G48</x:f>
        <x:v>SALARIES &amp; WAGES</x:v>
      </x:c>
      <x:c r="H48" s="30" t="n">
        <x:f>'Journal Entries'!H48</x:f>
        <x:v>180000</x:v>
      </x:c>
      <x:c r="I48" s="30" t="n">
        <x:f>'Journal Entries'!I48</x:f>
        <x:v>0</x:v>
      </x:c>
      <x:c r="J48" s="23" t="str">
        <x:f>'Journal Entries'!J48</x:f>
        <x:v>TRUCK IT IN PVT LTD</x:v>
      </x:c>
      <x:c r="K48" s="23" t="str">
        <x:f>'Journal Entries'!K48</x:f>
        <x:v>N/A</x:v>
      </x:c>
      <x:c r="L48" s="23" t="str">
        <x:f>'Journal Entries'!L48</x:f>
        <x:v>Posted</x:v>
      </x:c>
      <x:c r="M48" s="23" t="str">
        <x:f>'Journal Entries'!M48</x:f>
        <x:v>Operating - Payments</x:v>
      </x:c>
      <x:c r="N48" s="24" t="str">
        <x:f>'Journal Entries'!N48</x:f>
        <x:v>FS-000010</x:v>
      </x:c>
    </x:row>
    <x:row r="49">
      <x:c r="A49" s="22" t="str">
        <x:f>'Journal Entries'!A49</x:f>
        <x:v>JE-024</x:v>
      </x:c>
      <x:c r="B49" s="34" t="n">
        <x:f>'Journal Entries'!B49</x:f>
        <x:v>45846</x:v>
      </x:c>
      <x:c r="C49" s="23" t="str">
        <x:f>'Journal Entries'!C49</x:f>
        <x:v>Bank Statement</x:v>
      </x:c>
      <x:c r="D49" s="23" t="str">
        <x:f>'Journal Entries'!D49</x:f>
        <x:v>B06-003</x:v>
      </x:c>
      <x:c r="E49" s="23" t="str">
        <x:f>'Journal Entries'!E49</x:f>
        <x:v>Travel and entertainment reimbursement</x:v>
      </x:c>
      <x:c r="F49" s="23" t="str">
        <x:f>'Journal Entries'!F49</x:f>
        <x:v>1030</x:v>
      </x:c>
      <x:c r="G49" s="23" t="str">
        <x:f>'Journal Entries'!G49</x:f>
        <x:v>PK24MEZN0001110107095251</x:v>
      </x:c>
      <x:c r="H49" s="30" t="n">
        <x:f>'Journal Entries'!H49</x:f>
        <x:v>0</x:v>
      </x:c>
      <x:c r="I49" s="30" t="n">
        <x:f>'Journal Entries'!I49</x:f>
        <x:v>40000</x:v>
      </x:c>
      <x:c r="J49" s="23" t="str">
        <x:f>'Journal Entries'!J49</x:f>
        <x:v>TRUCK IT IN PVT LTD</x:v>
      </x:c>
      <x:c r="K49" s="23" t="str">
        <x:f>'Journal Entries'!K49</x:f>
        <x:v>N/A</x:v>
      </x:c>
      <x:c r="L49" s="23" t="str">
        <x:f>'Journal Entries'!L49</x:f>
        <x:v>Posted</x:v>
      </x:c>
      <x:c r="M49" s="23" t="str">
        <x:f>'Journal Entries'!M49</x:f>
        <x:v>Operating - Payments</x:v>
      </x:c>
      <x:c r="N49" s="24" t="str">
        <x:f>'Journal Entries'!N49</x:f>
        <x:v>FS-000011</x:v>
      </x:c>
    </x:row>
    <x:row r="50">
      <x:c r="A50" s="22" t="str">
        <x:f>'Journal Entries'!A50</x:f>
        <x:v>JE-024</x:v>
      </x:c>
      <x:c r="B50" s="34" t="n">
        <x:f>'Journal Entries'!B50</x:f>
        <x:v>45846</x:v>
      </x:c>
      <x:c r="C50" s="23" t="str">
        <x:f>'Journal Entries'!C50</x:f>
        <x:v>Bank Statement</x:v>
      </x:c>
      <x:c r="D50" s="23" t="str">
        <x:f>'Journal Entries'!D50</x:f>
        <x:v>B06-003</x:v>
      </x:c>
      <x:c r="E50" s="23" t="str">
        <x:f>'Journal Entries'!E50</x:f>
        <x:v>Travel and entertainment reimbursement</x:v>
      </x:c>
      <x:c r="F50" s="23" t="str">
        <x:f>'Journal Entries'!F50</x:f>
        <x:v>1059</x:v>
      </x:c>
      <x:c r="G50" s="23" t="str">
        <x:f>'Journal Entries'!G50</x:f>
        <x:v>Travel and entertainment</x:v>
      </x:c>
      <x:c r="H50" s="30" t="n">
        <x:f>'Journal Entries'!H50</x:f>
        <x:v>40000</x:v>
      </x:c>
      <x:c r="I50" s="30" t="n">
        <x:f>'Journal Entries'!I50</x:f>
        <x:v>0</x:v>
      </x:c>
      <x:c r="J50" s="23" t="str">
        <x:f>'Journal Entries'!J50</x:f>
        <x:v>TRUCK IT IN PVT LTD</x:v>
      </x:c>
      <x:c r="K50" s="23" t="str">
        <x:f>'Journal Entries'!K50</x:f>
        <x:v>N/A</x:v>
      </x:c>
      <x:c r="L50" s="23" t="str">
        <x:f>'Journal Entries'!L50</x:f>
        <x:v>Posted</x:v>
      </x:c>
      <x:c r="M50" s="23" t="str">
        <x:f>'Journal Entries'!M50</x:f>
        <x:v>Operating - Payments</x:v>
      </x:c>
      <x:c r="N50" s="24" t="str">
        <x:f>'Journal Entries'!N50</x:f>
        <x:v>FS-000011</x:v>
      </x:c>
    </x:row>
    <x:row r="51">
      <x:c r="A51" s="22" t="str">
        <x:f>'Journal Entries'!A51</x:f>
        <x:v>JE-025</x:v>
      </x:c>
      <x:c r="B51" s="34" t="n">
        <x:f>'Journal Entries'!B51</x:f>
        <x:v>45847</x:v>
      </x:c>
      <x:c r="C51" s="23" t="str">
        <x:f>'Journal Entries'!C51</x:f>
        <x:v>Bank Statement</x:v>
      </x:c>
      <x:c r="D51" s="23" t="str">
        <x:f>'Journal Entries'!D51</x:f>
        <x:v>B06-004</x:v>
      </x:c>
      <x:c r="E51" s="23" t="str">
        <x:f>'Journal Entries'!E51</x:f>
        <x:v>Bank service charges</x:v>
      </x:c>
      <x:c r="F51" s="23" t="str">
        <x:f>'Journal Entries'!F51</x:f>
        <x:v>1030</x:v>
      </x:c>
      <x:c r="G51" s="23" t="str">
        <x:f>'Journal Entries'!G51</x:f>
        <x:v>PK24MEZN0001110107095251</x:v>
      </x:c>
      <x:c r="H51" s="30" t="n">
        <x:f>'Journal Entries'!H51</x:f>
        <x:v>0</x:v>
      </x:c>
      <x:c r="I51" s="30" t="n">
        <x:f>'Journal Entries'!I51</x:f>
        <x:v>10000</x:v>
      </x:c>
      <x:c r="J51" s="23" t="str">
        <x:f>'Journal Entries'!J51</x:f>
        <x:v>TRUCK IT IN PVT LTD</x:v>
      </x:c>
      <x:c r="K51" s="23" t="str">
        <x:f>'Journal Entries'!K51</x:f>
        <x:v>N/A</x:v>
      </x:c>
      <x:c r="L51" s="23" t="str">
        <x:f>'Journal Entries'!L51</x:f>
        <x:v>Posted</x:v>
      </x:c>
      <x:c r="M51" s="23" t="str">
        <x:f>'Journal Entries'!M51</x:f>
        <x:v>Operating - Payments</x:v>
      </x:c>
      <x:c r="N51" s="24" t="str">
        <x:f>'Journal Entries'!N51</x:f>
        <x:v>FS-000008</x:v>
      </x:c>
    </x:row>
    <x:row r="52">
      <x:c r="A52" s="22" t="str">
        <x:f>'Journal Entries'!A52</x:f>
        <x:v>JE-025</x:v>
      </x:c>
      <x:c r="B52" s="34" t="n">
        <x:f>'Journal Entries'!B52</x:f>
        <x:v>45847</x:v>
      </x:c>
      <x:c r="C52" s="23" t="str">
        <x:f>'Journal Entries'!C52</x:f>
        <x:v>Bank Statement</x:v>
      </x:c>
      <x:c r="D52" s="23" t="str">
        <x:f>'Journal Entries'!D52</x:f>
        <x:v>B06-004</x:v>
      </x:c>
      <x:c r="E52" s="23" t="str">
        <x:f>'Journal Entries'!E52</x:f>
        <x:v>Bank service charges</x:v>
      </x:c>
      <x:c r="F52" s="23" t="str">
        <x:f>'Journal Entries'!F52</x:f>
        <x:v>1057</x:v>
      </x:c>
      <x:c r="G52" s="23" t="str">
        <x:f>'Journal Entries'!G52</x:f>
        <x:v>Bank Charges</x:v>
      </x:c>
      <x:c r="H52" s="30" t="n">
        <x:f>'Journal Entries'!H52</x:f>
        <x:v>10000</x:v>
      </x:c>
      <x:c r="I52" s="30" t="n">
        <x:f>'Journal Entries'!I52</x:f>
        <x:v>0</x:v>
      </x:c>
      <x:c r="J52" s="23" t="str">
        <x:f>'Journal Entries'!J52</x:f>
        <x:v>TRUCK IT IN PVT LTD</x:v>
      </x:c>
      <x:c r="K52" s="23" t="str">
        <x:f>'Journal Entries'!K52</x:f>
        <x:v>N/A</x:v>
      </x:c>
      <x:c r="L52" s="23" t="str">
        <x:f>'Journal Entries'!L52</x:f>
        <x:v>Posted</x:v>
      </x:c>
      <x:c r="M52" s="23" t="str">
        <x:f>'Journal Entries'!M52</x:f>
        <x:v>Operating - Payments</x:v>
      </x:c>
      <x:c r="N52" s="24" t="str">
        <x:f>'Journal Entries'!N52</x:f>
        <x:v>FS-000008</x:v>
      </x:c>
    </x:row>
    <x:row r="53">
      <x:c r="A53" s="22" t="str">
        <x:f>'Journal Entries'!A53</x:f>
        <x:v>JE-026</x:v>
      </x:c>
      <x:c r="B53" s="34" t="n">
        <x:f>'Journal Entries'!B53</x:f>
        <x:v>45845</x:v>
      </x:c>
      <x:c r="C53" s="23" t="str">
        <x:f>'Journal Entries'!C53</x:f>
        <x:v>Bank Statement</x:v>
      </x:c>
      <x:c r="D53" s="23" t="str">
        <x:f>'Journal Entries'!D53</x:f>
        <x:v>B07-001</x:v>
      </x:c>
      <x:c r="E53" s="23" t="str">
        <x:f>'Journal Entries'!E53</x:f>
        <x:v>Short-term loan proceeds</x:v>
      </x:c>
      <x:c r="F53" s="23" t="str">
        <x:f>'Journal Entries'!F53</x:f>
        <x:v>1028</x:v>
      </x:c>
      <x:c r="G53" s="23" t="str">
        <x:f>'Journal Entries'!G53</x:f>
        <x:v>PK49DUIB0000000627075001</x:v>
      </x:c>
      <x:c r="H53" s="30" t="n">
        <x:f>'Journal Entries'!H53</x:f>
        <x:v>300000</x:v>
      </x:c>
      <x:c r="I53" s="30" t="n">
        <x:f>'Journal Entries'!I53</x:f>
        <x:v>0</x:v>
      </x:c>
      <x:c r="J53" s="23" t="str">
        <x:f>'Journal Entries'!J53</x:f>
        <x:v>TRUCK IT IN PVT LTD</x:v>
      </x:c>
      <x:c r="K53" s="23" t="str">
        <x:f>'Journal Entries'!K53</x:f>
        <x:v>N/A</x:v>
      </x:c>
      <x:c r="L53" s="23" t="str">
        <x:f>'Journal Entries'!L53</x:f>
        <x:v>Posted</x:v>
      </x:c>
      <x:c r="M53" s="23" t="str">
        <x:f>'Journal Entries'!M53</x:f>
        <x:v>Financing - Receipts</x:v>
      </x:c>
      <x:c r="N53" s="24" t="str">
        <x:f>'Journal Entries'!N53</x:f>
        <x:v>FS-000005</x:v>
      </x:c>
    </x:row>
    <x:row r="54">
      <x:c r="A54" s="22" t="str">
        <x:f>'Journal Entries'!A54</x:f>
        <x:v>JE-026</x:v>
      </x:c>
      <x:c r="B54" s="34" t="n">
        <x:f>'Journal Entries'!B54</x:f>
        <x:v>45845</x:v>
      </x:c>
      <x:c r="C54" s="23" t="str">
        <x:f>'Journal Entries'!C54</x:f>
        <x:v>Bank Statement</x:v>
      </x:c>
      <x:c r="D54" s="23" t="str">
        <x:f>'Journal Entries'!D54</x:f>
        <x:v>B07-001</x:v>
      </x:c>
      <x:c r="E54" s="23" t="str">
        <x:f>'Journal Entries'!E54</x:f>
        <x:v>Short-term loan proceeds</x:v>
      </x:c>
      <x:c r="F54" s="23" t="str">
        <x:f>'Journal Entries'!F54</x:f>
        <x:v>1041</x:v>
      </x:c>
      <x:c r="G54" s="23" t="str">
        <x:f>'Journal Entries'!G54</x:f>
        <x:v>ABHI</x:v>
      </x:c>
      <x:c r="H54" s="30" t="n">
        <x:f>'Journal Entries'!H54</x:f>
        <x:v>0</x:v>
      </x:c>
      <x:c r="I54" s="30" t="n">
        <x:f>'Journal Entries'!I54</x:f>
        <x:v>300000</x:v>
      </x:c>
      <x:c r="J54" s="23" t="str">
        <x:f>'Journal Entries'!J54</x:f>
        <x:v>TRUCK IT IN PVT LTD</x:v>
      </x:c>
      <x:c r="K54" s="23" t="str">
        <x:f>'Journal Entries'!K54</x:f>
        <x:v>N/A</x:v>
      </x:c>
      <x:c r="L54" s="23" t="str">
        <x:f>'Journal Entries'!L54</x:f>
        <x:v>Posted</x:v>
      </x:c>
      <x:c r="M54" s="23" t="str">
        <x:f>'Journal Entries'!M54</x:f>
        <x:v>Financing - Receipts</x:v>
      </x:c>
      <x:c r="N54" s="24" t="str">
        <x:f>'Journal Entries'!N54</x:f>
        <x:v>FS-000005</x:v>
      </x:c>
    </x:row>
    <x:row r="55">
      <x:c r="A55" s="22" t="str">
        <x:f>'Journal Entries'!A55</x:f>
        <x:v>JE-027</x:v>
      </x:c>
      <x:c r="B55" s="34" t="n">
        <x:f>'Journal Entries'!B55</x:f>
        <x:v>45846</x:v>
      </x:c>
      <x:c r="C55" s="23" t="str">
        <x:f>'Journal Entries'!C55</x:f>
        <x:v>Bank Statement</x:v>
      </x:c>
      <x:c r="D55" s="23" t="str">
        <x:f>'Journal Entries'!D55</x:f>
        <x:v>B07-002</x:v>
      </x:c>
      <x:c r="E55" s="23" t="str">
        <x:f>'Journal Entries'!E55</x:f>
        <x:v>Advance income tax payment</x:v>
      </x:c>
      <x:c r="F55" s="23" t="str">
        <x:f>'Journal Entries'!F55</x:f>
        <x:v>1028</x:v>
      </x:c>
      <x:c r="G55" s="23" t="str">
        <x:f>'Journal Entries'!G55</x:f>
        <x:v>PK49DUIB0000000627075001</x:v>
      </x:c>
      <x:c r="H55" s="30" t="n">
        <x:f>'Journal Entries'!H55</x:f>
        <x:v>0</x:v>
      </x:c>
      <x:c r="I55" s="30" t="n">
        <x:f>'Journal Entries'!I55</x:f>
        <x:v>70000</x:v>
      </x:c>
      <x:c r="J55" s="23" t="str">
        <x:f>'Journal Entries'!J55</x:f>
        <x:v>TRUCK IT IN PVT LTD</x:v>
      </x:c>
      <x:c r="K55" s="23" t="str">
        <x:f>'Journal Entries'!K55</x:f>
        <x:v>N/A</x:v>
      </x:c>
      <x:c r="L55" s="23" t="str">
        <x:f>'Journal Entries'!L55</x:f>
        <x:v>Posted</x:v>
      </x:c>
      <x:c r="M55" s="23" t="str">
        <x:f>'Journal Entries'!M55</x:f>
        <x:v>Operating - Payments</x:v>
      </x:c>
      <x:c r="N55" s="24" t="str">
        <x:f>'Journal Entries'!N55</x:f>
        <x:v>FS-000017</x:v>
      </x:c>
    </x:row>
    <x:row r="56">
      <x:c r="A56" s="22" t="str">
        <x:f>'Journal Entries'!A56</x:f>
        <x:v>JE-027</x:v>
      </x:c>
      <x:c r="B56" s="34" t="n">
        <x:f>'Journal Entries'!B56</x:f>
        <x:v>45846</x:v>
      </x:c>
      <x:c r="C56" s="23" t="str">
        <x:f>'Journal Entries'!C56</x:f>
        <x:v>Bank Statement</x:v>
      </x:c>
      <x:c r="D56" s="23" t="str">
        <x:f>'Journal Entries'!D56</x:f>
        <x:v>B07-002</x:v>
      </x:c>
      <x:c r="E56" s="23" t="str">
        <x:f>'Journal Entries'!E56</x:f>
        <x:v>Advance income tax payment</x:v>
      </x:c>
      <x:c r="F56" s="23" t="str">
        <x:f>'Journal Entries'!F56</x:f>
        <x:v>1044</x:v>
      </x:c>
      <x:c r="G56" s="23" t="str">
        <x:f>'Journal Entries'!G56</x:f>
        <x:v>Advance tax</x:v>
      </x:c>
      <x:c r="H56" s="30" t="n">
        <x:f>'Journal Entries'!H56</x:f>
        <x:v>70000</x:v>
      </x:c>
      <x:c r="I56" s="30" t="n">
        <x:f>'Journal Entries'!I56</x:f>
        <x:v>0</x:v>
      </x:c>
      <x:c r="J56" s="23" t="str">
        <x:f>'Journal Entries'!J56</x:f>
        <x:v>TRUCK IT IN PVT LTD</x:v>
      </x:c>
      <x:c r="K56" s="23" t="str">
        <x:f>'Journal Entries'!K56</x:f>
        <x:v>N/A</x:v>
      </x:c>
      <x:c r="L56" s="23" t="str">
        <x:f>'Journal Entries'!L56</x:f>
        <x:v>Posted</x:v>
      </x:c>
      <x:c r="M56" s="23" t="str">
        <x:f>'Journal Entries'!M56</x:f>
        <x:v>Operating - Payments</x:v>
      </x:c>
      <x:c r="N56" s="24" t="str">
        <x:f>'Journal Entries'!N56</x:f>
        <x:v>FS-000017</x:v>
      </x:c>
    </x:row>
    <x:row r="57">
      <x:c r="A57" s="22" t="str">
        <x:f>'Journal Entries'!A57</x:f>
        <x:v>JE-028</x:v>
      </x:c>
      <x:c r="B57" s="34" t="n">
        <x:f>'Journal Entries'!B57</x:f>
        <x:v>45847</x:v>
      </x:c>
      <x:c r="C57" s="23" t="str">
        <x:f>'Journal Entries'!C57</x:f>
        <x:v>Bank Statement</x:v>
      </x:c>
      <x:c r="D57" s="23" t="str">
        <x:f>'Journal Entries'!D57</x:f>
        <x:v>B07-003</x:v>
      </x:c>
      <x:c r="E57" s="23" t="str">
        <x:f>'Journal Entries'!E57</x:f>
        <x:v>Sales tax payment</x:v>
      </x:c>
      <x:c r="F57" s="23" t="str">
        <x:f>'Journal Entries'!F57</x:f>
        <x:v>1028</x:v>
      </x:c>
      <x:c r="G57" s="23" t="str">
        <x:f>'Journal Entries'!G57</x:f>
        <x:v>PK49DUIB0000000627075001</x:v>
      </x:c>
      <x:c r="H57" s="30" t="n">
        <x:f>'Journal Entries'!H57</x:f>
        <x:v>0</x:v>
      </x:c>
      <x:c r="I57" s="30" t="n">
        <x:f>'Journal Entries'!I57</x:f>
        <x:v>120000</x:v>
      </x:c>
      <x:c r="J57" s="23" t="str">
        <x:f>'Journal Entries'!J57</x:f>
        <x:v>TRUCK IT IN PVT LTD</x:v>
      </x:c>
      <x:c r="K57" s="23" t="str">
        <x:f>'Journal Entries'!K57</x:f>
        <x:v>N/A</x:v>
      </x:c>
      <x:c r="L57" s="23" t="str">
        <x:f>'Journal Entries'!L57</x:f>
        <x:v>Posted</x:v>
      </x:c>
      <x:c r="M57" s="23" t="str">
        <x:f>'Journal Entries'!M57</x:f>
        <x:v>Operating - Payments</x:v>
      </x:c>
      <x:c r="N57" s="24" t="str">
        <x:f>'Journal Entries'!N57</x:f>
        <x:v>FS-000018</x:v>
      </x:c>
    </x:row>
    <x:row r="58">
      <x:c r="A58" s="22" t="str">
        <x:f>'Journal Entries'!A58</x:f>
        <x:v>JE-028</x:v>
      </x:c>
      <x:c r="B58" s="34" t="n">
        <x:f>'Journal Entries'!B58</x:f>
        <x:v>45847</x:v>
      </x:c>
      <x:c r="C58" s="23" t="str">
        <x:f>'Journal Entries'!C58</x:f>
        <x:v>Bank Statement</x:v>
      </x:c>
      <x:c r="D58" s="23" t="str">
        <x:f>'Journal Entries'!D58</x:f>
        <x:v>B07-003</x:v>
      </x:c>
      <x:c r="E58" s="23" t="str">
        <x:f>'Journal Entries'!E58</x:f>
        <x:v>Sales tax payment</x:v>
      </x:c>
      <x:c r="F58" s="23" t="str">
        <x:f>'Journal Entries'!F58</x:f>
        <x:v>1032</x:v>
      </x:c>
      <x:c r="G58" s="23" t="str">
        <x:f>'Journal Entries'!G58</x:f>
        <x:v>Sales Tax Payable</x:v>
      </x:c>
      <x:c r="H58" s="30" t="n">
        <x:f>'Journal Entries'!H58</x:f>
        <x:v>120000</x:v>
      </x:c>
      <x:c r="I58" s="30" t="n">
        <x:f>'Journal Entries'!I58</x:f>
        <x:v>0</x:v>
      </x:c>
      <x:c r="J58" s="23" t="str">
        <x:f>'Journal Entries'!J58</x:f>
        <x:v>TRUCK IT IN PVT LTD</x:v>
      </x:c>
      <x:c r="K58" s="23" t="str">
        <x:f>'Journal Entries'!K58</x:f>
        <x:v>N/A</x:v>
      </x:c>
      <x:c r="L58" s="23" t="str">
        <x:f>'Journal Entries'!L58</x:f>
        <x:v>Posted</x:v>
      </x:c>
      <x:c r="M58" s="23" t="str">
        <x:f>'Journal Entries'!M58</x:f>
        <x:v>Operating - Payments</x:v>
      </x:c>
      <x:c r="N58" s="24" t="str">
        <x:f>'Journal Entries'!N58</x:f>
        <x:v>FS-000018</x:v>
      </x:c>
    </x:row>
    <x:row r="59">
      <x:c r="A59" s="22" t="str">
        <x:f>'Journal Entries'!A59</x:f>
        <x:v>JE-029</x:v>
      </x:c>
      <x:c r="B59" s="34" t="n">
        <x:f>'Journal Entries'!B59</x:f>
        <x:v>45848</x:v>
      </x:c>
      <x:c r="C59" s="23" t="str">
        <x:f>'Journal Entries'!C59</x:f>
        <x:v>Bank Statement</x:v>
      </x:c>
      <x:c r="D59" s="23" t="str">
        <x:f>'Journal Entries'!D59</x:f>
        <x:v>TRF-07-08</x:v>
      </x:c>
      <x:c r="E59" s="23" t="str">
        <x:f>'Journal Entries'!E59</x:f>
        <x:v>Transfer to MCB Corporate</x:v>
      </x:c>
      <x:c r="F59" s="23" t="str">
        <x:f>'Journal Entries'!F59</x:f>
        <x:v>1028</x:v>
      </x:c>
      <x:c r="G59" s="23" t="str">
        <x:f>'Journal Entries'!G59</x:f>
        <x:v>PK49DUIB0000000627075001</x:v>
      </x:c>
      <x:c r="H59" s="30" t="n">
        <x:f>'Journal Entries'!H59</x:f>
        <x:v>0</x:v>
      </x:c>
      <x:c r="I59" s="30" t="n">
        <x:f>'Journal Entries'!I59</x:f>
        <x:v>200000</x:v>
      </x:c>
      <x:c r="J59" s="23" t="str">
        <x:f>'Journal Entries'!J59</x:f>
        <x:v>TRUCK IT IN PVT LTD</x:v>
      </x:c>
      <x:c r="K59" s="23" t="str">
        <x:f>'Journal Entries'!K59</x:f>
        <x:v>N/A</x:v>
      </x:c>
      <x:c r="L59" s="23" t="str">
        <x:f>'Journal Entries'!L59</x:f>
        <x:v>Posted</x:v>
      </x:c>
      <x:c r="M59" s="23" t="str">
        <x:f>'Journal Entries'!M59</x:f>
        <x:v>Transfer</x:v>
      </x:c>
      <x:c r="N59" s="24" t="str">
        <x:f>'Journal Entries'!N59</x:f>
        <x:v>FS-000020</x:v>
      </x:c>
    </x:row>
    <x:row r="60">
      <x:c r="A60" s="22" t="str">
        <x:f>'Journal Entries'!A60</x:f>
        <x:v>JE-029</x:v>
      </x:c>
      <x:c r="B60" s="34" t="n">
        <x:f>'Journal Entries'!B60</x:f>
        <x:v>45848</x:v>
      </x:c>
      <x:c r="C60" s="23" t="str">
        <x:f>'Journal Entries'!C60</x:f>
        <x:v>Bank Statement</x:v>
      </x:c>
      <x:c r="D60" s="23" t="str">
        <x:f>'Journal Entries'!D60</x:f>
        <x:v>TRF-07-08</x:v>
      </x:c>
      <x:c r="E60" s="23" t="str">
        <x:f>'Journal Entries'!E60</x:f>
        <x:v>Transfer to MCB Corporate</x:v>
      </x:c>
      <x:c r="F60" s="23" t="str">
        <x:f>'Journal Entries'!F60</x:f>
        <x:v>1031</x:v>
      </x:c>
      <x:c r="G60" s="23" t="str">
        <x:f>'Journal Entries'!G60</x:f>
        <x:v>PK75MPBL0124067140164610</x:v>
      </x:c>
      <x:c r="H60" s="30" t="n">
        <x:f>'Journal Entries'!H60</x:f>
        <x:v>200000</x:v>
      </x:c>
      <x:c r="I60" s="30" t="n">
        <x:f>'Journal Entries'!I60</x:f>
        <x:v>0</x:v>
      </x:c>
      <x:c r="J60" s="23" t="str">
        <x:f>'Journal Entries'!J60</x:f>
        <x:v>TRUCK IT IN PVT LTD</x:v>
      </x:c>
      <x:c r="K60" s="23" t="str">
        <x:f>'Journal Entries'!K60</x:f>
        <x:v>N/A</x:v>
      </x:c>
      <x:c r="L60" s="23" t="str">
        <x:f>'Journal Entries'!L60</x:f>
        <x:v>Posted</x:v>
      </x:c>
      <x:c r="M60" s="23" t="str">
        <x:f>'Journal Entries'!M60</x:f>
        <x:v>Transfer</x:v>
      </x:c>
      <x:c r="N60" s="24" t="str">
        <x:f>'Journal Entries'!N60</x:f>
        <x:v>FS-000020</x:v>
      </x:c>
    </x:row>
    <x:row r="61">
      <x:c r="A61" s="22" t="str">
        <x:f>'Journal Entries'!A61</x:f>
        <x:v>JE-030</x:v>
      </x:c>
      <x:c r="B61" s="34" t="n">
        <x:f>'Journal Entries'!B61</x:f>
        <x:v>45846</x:v>
      </x:c>
      <x:c r="C61" s="23" t="str">
        <x:f>'Journal Entries'!C61</x:f>
        <x:v>Bank Statement</x:v>
      </x:c>
      <x:c r="D61" s="23" t="str">
        <x:f>'Journal Entries'!D61</x:f>
        <x:v>TRF-07-08</x:v>
      </x:c>
      <x:c r="E61" s="23" t="str">
        <x:f>'Journal Entries'!E61</x:f>
        <x:v>Transfer received from UBL Operations</x:v>
      </x:c>
      <x:c r="F61" s="23" t="str">
        <x:f>'Journal Entries'!F61</x:f>
        <x:v>1031</x:v>
      </x:c>
      <x:c r="G61" s="23" t="str">
        <x:f>'Journal Entries'!G61</x:f>
        <x:v>PK75MPBL0124067140164610</x:v>
      </x:c>
      <x:c r="H61" s="30" t="n">
        <x:f>'Journal Entries'!H61</x:f>
        <x:v>200000</x:v>
      </x:c>
      <x:c r="I61" s="30" t="n">
        <x:f>'Journal Entries'!I61</x:f>
        <x:v>0</x:v>
      </x:c>
      <x:c r="J61" s="23" t="str">
        <x:f>'Journal Entries'!J61</x:f>
        <x:v>TRUCK IT IN PVT LTD</x:v>
      </x:c>
      <x:c r="K61" s="23" t="str">
        <x:f>'Journal Entries'!K61</x:f>
        <x:v>N/A</x:v>
      </x:c>
      <x:c r="L61" s="23" t="str">
        <x:f>'Journal Entries'!L61</x:f>
        <x:v>Posted</x:v>
      </x:c>
      <x:c r="M61" s="23" t="str">
        <x:f>'Journal Entries'!M61</x:f>
        <x:v>Transfer</x:v>
      </x:c>
      <x:c r="N61" s="24" t="str">
        <x:f>'Journal Entries'!N61</x:f>
        <x:v>FS-000020</x:v>
      </x:c>
    </x:row>
    <x:row r="62">
      <x:c r="A62" s="22" t="str">
        <x:f>'Journal Entries'!A62</x:f>
        <x:v>JE-030</x:v>
      </x:c>
      <x:c r="B62" s="34" t="n">
        <x:f>'Journal Entries'!B62</x:f>
        <x:v>45846</x:v>
      </x:c>
      <x:c r="C62" s="23" t="str">
        <x:f>'Journal Entries'!C62</x:f>
        <x:v>Bank Statement</x:v>
      </x:c>
      <x:c r="D62" s="23" t="str">
        <x:f>'Journal Entries'!D62</x:f>
        <x:v>TRF-07-08</x:v>
      </x:c>
      <x:c r="E62" s="23" t="str">
        <x:f>'Journal Entries'!E62</x:f>
        <x:v>Transfer received from UBL Operations</x:v>
      </x:c>
      <x:c r="F62" s="23" t="str">
        <x:f>'Journal Entries'!F62</x:f>
        <x:v>1028</x:v>
      </x:c>
      <x:c r="G62" s="23" t="str">
        <x:f>'Journal Entries'!G62</x:f>
        <x:v>PK49DUIB0000000627075001</x:v>
      </x:c>
      <x:c r="H62" s="30" t="n">
        <x:f>'Journal Entries'!H62</x:f>
        <x:v>0</x:v>
      </x:c>
      <x:c r="I62" s="30" t="n">
        <x:f>'Journal Entries'!I62</x:f>
        <x:v>200000</x:v>
      </x:c>
      <x:c r="J62" s="23" t="str">
        <x:f>'Journal Entries'!J62</x:f>
        <x:v>TRUCK IT IN PVT LTD</x:v>
      </x:c>
      <x:c r="K62" s="23" t="str">
        <x:f>'Journal Entries'!K62</x:f>
        <x:v>N/A</x:v>
      </x:c>
      <x:c r="L62" s="23" t="str">
        <x:f>'Journal Entries'!L62</x:f>
        <x:v>Posted</x:v>
      </x:c>
      <x:c r="M62" s="23" t="str">
        <x:f>'Journal Entries'!M62</x:f>
        <x:v>Transfer</x:v>
      </x:c>
      <x:c r="N62" s="24" t="str">
        <x:f>'Journal Entries'!N62</x:f>
        <x:v>FS-000020</x:v>
      </x:c>
    </x:row>
    <x:row r="63">
      <x:c r="A63" s="22" t="str">
        <x:f>'Journal Entries'!A63</x:f>
        <x:v>JE-031</x:v>
      </x:c>
      <x:c r="B63" s="34" t="n">
        <x:f>'Journal Entries'!B63</x:f>
        <x:v>45847</x:v>
      </x:c>
      <x:c r="C63" s="23" t="str">
        <x:f>'Journal Entries'!C63</x:f>
        <x:v>Bank Statement</x:v>
      </x:c>
      <x:c r="D63" s="23" t="str">
        <x:f>'Journal Entries'!D63</x:f>
        <x:v>B08-002</x:v>
      </x:c>
      <x:c r="E63" s="23" t="str">
        <x:f>'Journal Entries'!E63</x:f>
        <x:v>Holdco capital contribution</x:v>
      </x:c>
      <x:c r="F63" s="23" t="str">
        <x:f>'Journal Entries'!F63</x:f>
        <x:v>1031</x:v>
      </x:c>
      <x:c r="G63" s="23" t="str">
        <x:f>'Journal Entries'!G63</x:f>
        <x:v>PK75MPBL0124067140164610</x:v>
      </x:c>
      <x:c r="H63" s="30" t="n">
        <x:f>'Journal Entries'!H63</x:f>
        <x:v>200000</x:v>
      </x:c>
      <x:c r="I63" s="30" t="n">
        <x:f>'Journal Entries'!I63</x:f>
        <x:v>0</x:v>
      </x:c>
      <x:c r="J63" s="23" t="str">
        <x:f>'Journal Entries'!J63</x:f>
        <x:v>TRUCK IT IN PVT LTD</x:v>
      </x:c>
      <x:c r="K63" s="23" t="str">
        <x:f>'Journal Entries'!K63</x:f>
        <x:v>N/A</x:v>
      </x:c>
      <x:c r="L63" s="23" t="str">
        <x:f>'Journal Entries'!L63</x:f>
        <x:v>Posted</x:v>
      </x:c>
      <x:c r="M63" s="23" t="str">
        <x:f>'Journal Entries'!M63</x:f>
        <x:v>Financing - Receipts</x:v>
      </x:c>
      <x:c r="N63" s="24" t="str">
        <x:f>'Journal Entries'!N63</x:f>
        <x:v>FS-000004</x:v>
      </x:c>
    </x:row>
    <x:row r="64">
      <x:c r="A64" s="22" t="str">
        <x:f>'Journal Entries'!A64</x:f>
        <x:v>JE-031</x:v>
      </x:c>
      <x:c r="B64" s="34" t="n">
        <x:f>'Journal Entries'!B64</x:f>
        <x:v>45847</x:v>
      </x:c>
      <x:c r="C64" s="23" t="str">
        <x:f>'Journal Entries'!C64</x:f>
        <x:v>Bank Statement</x:v>
      </x:c>
      <x:c r="D64" s="23" t="str">
        <x:f>'Journal Entries'!D64</x:f>
        <x:v>B08-002</x:v>
      </x:c>
      <x:c r="E64" s="23" t="str">
        <x:f>'Journal Entries'!E64</x:f>
        <x:v>Holdco capital contribution</x:v>
      </x:c>
      <x:c r="F64" s="23" t="str">
        <x:f>'Journal Entries'!F64</x:f>
        <x:v>1037</x:v>
      </x:c>
      <x:c r="G64" s="23" t="str">
        <x:f>'Journal Entries'!G64</x:f>
        <x:v>Advance against issue of shares</x:v>
      </x:c>
      <x:c r="H64" s="30" t="n">
        <x:f>'Journal Entries'!H64</x:f>
        <x:v>0</x:v>
      </x:c>
      <x:c r="I64" s="30" t="n">
        <x:f>'Journal Entries'!I64</x:f>
        <x:v>200000</x:v>
      </x:c>
      <x:c r="J64" s="23" t="str">
        <x:f>'Journal Entries'!J64</x:f>
        <x:v>TRUCK IT IN PVT LTD</x:v>
      </x:c>
      <x:c r="K64" s="23" t="str">
        <x:f>'Journal Entries'!K64</x:f>
        <x:v>N/A</x:v>
      </x:c>
      <x:c r="L64" s="23" t="str">
        <x:f>'Journal Entries'!L64</x:f>
        <x:v>Posted</x:v>
      </x:c>
      <x:c r="M64" s="23" t="str">
        <x:f>'Journal Entries'!M64</x:f>
        <x:v>Financing - Receipts</x:v>
      </x:c>
      <x:c r="N64" s="24" t="str">
        <x:f>'Journal Entries'!N64</x:f>
        <x:v>FS-000004</x:v>
      </x:c>
    </x:row>
    <x:row r="65">
      <x:c r="A65" s="22" t="str">
        <x:f>'Journal Entries'!A65</x:f>
        <x:v>JE-032</x:v>
      </x:c>
      <x:c r="B65" s="34" t="n">
        <x:f>'Journal Entries'!B65</x:f>
        <x:v>45848</x:v>
      </x:c>
      <x:c r="C65" s="23" t="str">
        <x:f>'Journal Entries'!C65</x:f>
        <x:v>Bank Statement</x:v>
      </x:c>
      <x:c r="D65" s="23" t="str">
        <x:f>'Journal Entries'!D65</x:f>
        <x:v>B08-003</x:v>
      </x:c>
      <x:c r="E65" s="23" t="str">
        <x:f>'Journal Entries'!E65</x:f>
        <x:v>Intercompany settlement payment</x:v>
      </x:c>
      <x:c r="F65" s="23" t="str">
        <x:f>'Journal Entries'!F65</x:f>
        <x:v>1031</x:v>
      </x:c>
      <x:c r="G65" s="23" t="str">
        <x:f>'Journal Entries'!G65</x:f>
        <x:v>PK75MPBL0124067140164610</x:v>
      </x:c>
      <x:c r="H65" s="30" t="n">
        <x:f>'Journal Entries'!H65</x:f>
        <x:v>0</x:v>
      </x:c>
      <x:c r="I65" s="30" t="n">
        <x:f>'Journal Entries'!I65</x:f>
        <x:v>150000</x:v>
      </x:c>
      <x:c r="J65" s="23" t="str">
        <x:f>'Journal Entries'!J65</x:f>
        <x:v>TRUCK IT IN PVT LTD</x:v>
      </x:c>
      <x:c r="K65" s="23" t="str">
        <x:f>'Journal Entries'!K65</x:f>
        <x:v>N/A</x:v>
      </x:c>
      <x:c r="L65" s="23" t="str">
        <x:f>'Journal Entries'!L65</x:f>
        <x:v>Posted</x:v>
      </x:c>
      <x:c r="M65" s="23" t="str">
        <x:f>'Journal Entries'!M65</x:f>
        <x:v>Financing - Payments</x:v>
      </x:c>
      <x:c r="N65" s="24" t="str">
        <x:f>'Journal Entries'!N65</x:f>
        <x:v>FS-000001</x:v>
      </x:c>
    </x:row>
    <x:row r="66">
      <x:c r="A66" s="22" t="str">
        <x:f>'Journal Entries'!A66</x:f>
        <x:v>JE-032</x:v>
      </x:c>
      <x:c r="B66" s="34" t="n">
        <x:f>'Journal Entries'!B66</x:f>
        <x:v>45848</x:v>
      </x:c>
      <x:c r="C66" s="23" t="str">
        <x:f>'Journal Entries'!C66</x:f>
        <x:v>Bank Statement</x:v>
      </x:c>
      <x:c r="D66" s="23" t="str">
        <x:f>'Journal Entries'!D66</x:f>
        <x:v>B08-003</x:v>
      </x:c>
      <x:c r="E66" s="23" t="str">
        <x:f>'Journal Entries'!E66</x:f>
        <x:v>Intercompany settlement payment</x:v>
      </x:c>
      <x:c r="F66" s="23" t="str">
        <x:f>'Journal Entries'!F66</x:f>
        <x:v>1041</x:v>
      </x:c>
      <x:c r="G66" s="23" t="str">
        <x:f>'Journal Entries'!G66</x:f>
        <x:v>ABHI</x:v>
      </x:c>
      <x:c r="H66" s="30" t="n">
        <x:f>'Journal Entries'!H66</x:f>
        <x:v>150000</x:v>
      </x:c>
      <x:c r="I66" s="30" t="n">
        <x:f>'Journal Entries'!I66</x:f>
        <x:v>0</x:v>
      </x:c>
      <x:c r="J66" s="23" t="str">
        <x:f>'Journal Entries'!J66</x:f>
        <x:v>TRUCK IT IN PVT LTD</x:v>
      </x:c>
      <x:c r="K66" s="23" t="str">
        <x:f>'Journal Entries'!K66</x:f>
        <x:v>N/A</x:v>
      </x:c>
      <x:c r="L66" s="23" t="str">
        <x:f>'Journal Entries'!L66</x:f>
        <x:v>Posted</x:v>
      </x:c>
      <x:c r="M66" s="23" t="str">
        <x:f>'Journal Entries'!M66</x:f>
        <x:v>Financing - Payments</x:v>
      </x:c>
      <x:c r="N66" s="24" t="str">
        <x:f>'Journal Entries'!N66</x:f>
        <x:v>FS-000001</x:v>
      </x:c>
    </x:row>
    <x:row r="67">
      <x:c r="A67" s="22" t="str">
        <x:f>'Journal Entries'!A67</x:f>
        <x:v>JE-033</x:v>
      </x:c>
      <x:c r="B67" s="34" t="n">
        <x:f>'Journal Entries'!B67</x:f>
        <x:v>45847</x:v>
      </x:c>
      <x:c r="C67" s="23" t="str">
        <x:f>'Journal Entries'!C67</x:f>
        <x:v>Bank Statement</x:v>
      </x:c>
      <x:c r="D67" s="23" t="str">
        <x:f>'Journal Entries'!D67</x:f>
        <x:v>B09-001</x:v>
      </x:c>
      <x:c r="E67" s="23" t="str">
        <x:f>'Journal Entries'!E67</x:f>
        <x:v>Customer collection — reserve account</x:v>
      </x:c>
      <x:c r="F67" s="23" t="str">
        <x:f>'Journal Entries'!F67</x:f>
        <x:v>1029</x:v>
      </x:c>
      <x:c r="G67" s="23" t="str">
        <x:f>'Journal Entries'!G67</x:f>
        <x:v>PK55HABB0022827200508103</x:v>
      </x:c>
      <x:c r="H67" s="30" t="n">
        <x:f>'Journal Entries'!H67</x:f>
        <x:v>500000</x:v>
      </x:c>
      <x:c r="I67" s="30" t="n">
        <x:f>'Journal Entries'!I67</x:f>
        <x:v>0</x:v>
      </x:c>
      <x:c r="J67" s="23" t="str">
        <x:f>'Journal Entries'!J67</x:f>
        <x:v>TRUCK IT IN PVT LTD</x:v>
      </x:c>
      <x:c r="K67" s="23" t="str">
        <x:f>'Journal Entries'!K67</x:f>
        <x:v>N/A</x:v>
      </x:c>
      <x:c r="L67" s="23" t="str">
        <x:f>'Journal Entries'!L67</x:f>
        <x:v>Posted</x:v>
      </x:c>
      <x:c r="M67" s="23" t="str">
        <x:f>'Journal Entries'!M67</x:f>
        <x:v>Operating - Receipts</x:v>
      </x:c>
      <x:c r="N67" s="24" t="str">
        <x:f>'Journal Entries'!N67</x:f>
        <x:v>FS-000022</x:v>
      </x:c>
    </x:row>
    <x:row r="68">
      <x:c r="A68" s="22" t="str">
        <x:f>'Journal Entries'!A68</x:f>
        <x:v>JE-033</x:v>
      </x:c>
      <x:c r="B68" s="34" t="n">
        <x:f>'Journal Entries'!B68</x:f>
        <x:v>45847</x:v>
      </x:c>
      <x:c r="C68" s="23" t="str">
        <x:f>'Journal Entries'!C68</x:f>
        <x:v>Bank Statement</x:v>
      </x:c>
      <x:c r="D68" s="23" t="str">
        <x:f>'Journal Entries'!D68</x:f>
        <x:v>B09-001</x:v>
      </x:c>
      <x:c r="E68" s="23" t="str">
        <x:f>'Journal Entries'!E68</x:f>
        <x:v>Customer collection — reserve account</x:v>
      </x:c>
      <x:c r="F68" s="23" t="str">
        <x:f>'Journal Entries'!F68</x:f>
        <x:v>1050</x:v>
      </x:c>
      <x:c r="G68" s="23" t="str">
        <x:f>'Journal Entries'!G68</x:f>
        <x:v>Sales revenue</x:v>
      </x:c>
      <x:c r="H68" s="30" t="n">
        <x:f>'Journal Entries'!H68</x:f>
        <x:v>0</x:v>
      </x:c>
      <x:c r="I68" s="30" t="n">
        <x:f>'Journal Entries'!I68</x:f>
        <x:v>500000</x:v>
      </x:c>
      <x:c r="J68" s="23" t="str">
        <x:f>'Journal Entries'!J68</x:f>
        <x:v>TRUCK IT IN PVT LTD</x:v>
      </x:c>
      <x:c r="K68" s="23" t="str">
        <x:f>'Journal Entries'!K68</x:f>
        <x:v>N/A</x:v>
      </x:c>
      <x:c r="L68" s="23" t="str">
        <x:f>'Journal Entries'!L68</x:f>
        <x:v>Posted</x:v>
      </x:c>
      <x:c r="M68" s="23" t="str">
        <x:f>'Journal Entries'!M68</x:f>
        <x:v>Operating - Receipts</x:v>
      </x:c>
      <x:c r="N68" s="24" t="str">
        <x:f>'Journal Entries'!N68</x:f>
        <x:v>FS-000022</x:v>
      </x:c>
    </x:row>
    <x:row r="69">
      <x:c r="A69" s="22" t="str">
        <x:f>'Journal Entries'!A69</x:f>
        <x:v>JE-034</x:v>
      </x:c>
      <x:c r="B69" s="34" t="n">
        <x:f>'Journal Entries'!B69</x:f>
        <x:v>45848</x:v>
      </x:c>
      <x:c r="C69" s="23" t="str">
        <x:f>'Journal Entries'!C69</x:f>
        <x:v>Bank Statement</x:v>
      </x:c>
      <x:c r="D69" s="23" t="str">
        <x:f>'Journal Entries'!D69</x:f>
        <x:v>B09-002</x:v>
      </x:c>
      <x:c r="E69" s="23" t="str">
        <x:f>'Journal Entries'!E69</x:f>
        <x:v>Partners margin settlement</x:v>
      </x:c>
      <x:c r="F69" s="23" t="str">
        <x:f>'Journal Entries'!F69</x:f>
        <x:v>1029</x:v>
      </x:c>
      <x:c r="G69" s="23" t="str">
        <x:f>'Journal Entries'!G69</x:f>
        <x:v>PK55HABB0022827200508103</x:v>
      </x:c>
      <x:c r="H69" s="30" t="n">
        <x:f>'Journal Entries'!H69</x:f>
        <x:v>0</x:v>
      </x:c>
      <x:c r="I69" s="30" t="n">
        <x:f>'Journal Entries'!I69</x:f>
        <x:v>100000</x:v>
      </x:c>
      <x:c r="J69" s="23" t="str">
        <x:f>'Journal Entries'!J69</x:f>
        <x:v>TRUCK IT IN PVT LTD</x:v>
      </x:c>
      <x:c r="K69" s="23" t="str">
        <x:f>'Journal Entries'!K69</x:f>
        <x:v>N/A</x:v>
      </x:c>
      <x:c r="L69" s="23" t="str">
        <x:f>'Journal Entries'!L69</x:f>
        <x:v>Posted</x:v>
      </x:c>
      <x:c r="M69" s="23" t="str">
        <x:f>'Journal Entries'!M69</x:f>
        <x:v>Operating - Payments</x:v>
      </x:c>
      <x:c r="N69" s="24" t="str">
        <x:f>'Journal Entries'!N69</x:f>
        <x:v>FS-000009</x:v>
      </x:c>
    </x:row>
    <x:row r="70">
      <x:c r="A70" s="22" t="str">
        <x:f>'Journal Entries'!A70</x:f>
        <x:v>JE-034</x:v>
      </x:c>
      <x:c r="B70" s="34" t="n">
        <x:f>'Journal Entries'!B70</x:f>
        <x:v>45848</x:v>
      </x:c>
      <x:c r="C70" s="23" t="str">
        <x:f>'Journal Entries'!C70</x:f>
        <x:v>Bank Statement</x:v>
      </x:c>
      <x:c r="D70" s="23" t="str">
        <x:f>'Journal Entries'!D70</x:f>
        <x:v>B09-002</x:v>
      </x:c>
      <x:c r="E70" s="23" t="str">
        <x:f>'Journal Entries'!E70</x:f>
        <x:v>Partners margin settlement</x:v>
      </x:c>
      <x:c r="F70" s="23" t="str">
        <x:f>'Journal Entries'!F70</x:f>
        <x:v>1068</x:v>
      </x:c>
      <x:c r="G70" s="23" t="str">
        <x:f>'Journal Entries'!G70</x:f>
        <x:v>Other Expenses</x:v>
      </x:c>
      <x:c r="H70" s="30" t="n">
        <x:f>'Journal Entries'!H70</x:f>
        <x:v>100000</x:v>
      </x:c>
      <x:c r="I70" s="30" t="n">
        <x:f>'Journal Entries'!I70</x:f>
        <x:v>0</x:v>
      </x:c>
      <x:c r="J70" s="23" t="str">
        <x:f>'Journal Entries'!J70</x:f>
        <x:v>TRUCK IT IN PVT LTD</x:v>
      </x:c>
      <x:c r="K70" s="23" t="str">
        <x:f>'Journal Entries'!K70</x:f>
        <x:v>N/A</x:v>
      </x:c>
      <x:c r="L70" s="23" t="str">
        <x:f>'Journal Entries'!L70</x:f>
        <x:v>Posted</x:v>
      </x:c>
      <x:c r="M70" s="23" t="str">
        <x:f>'Journal Entries'!M70</x:f>
        <x:v>Operating - Payments</x:v>
      </x:c>
      <x:c r="N70" s="24" t="str">
        <x:f>'Journal Entries'!N70</x:f>
        <x:v>FS-000009</x:v>
      </x:c>
    </x:row>
    <x:row r="71">
      <x:c r="A71" s="22" t="str">
        <x:f>'Journal Entries'!A71</x:f>
        <x:v>JE-035</x:v>
      </x:c>
      <x:c r="B71" s="34" t="n">
        <x:f>'Journal Entries'!B71</x:f>
        <x:v>45849</x:v>
      </x:c>
      <x:c r="C71" s="23" t="str">
        <x:f>'Journal Entries'!C71</x:f>
        <x:v>Bank Statement</x:v>
      </x:c>
      <x:c r="D71" s="23" t="str">
        <x:f>'Journal Entries'!D71</x:f>
        <x:v>B09-003</x:v>
      </x:c>
      <x:c r="E71" s="23" t="str">
        <x:f>'Journal Entries'!E71</x:f>
        <x:v>Petty cash withdrawal</x:v>
      </x:c>
      <x:c r="F71" s="23" t="str">
        <x:f>'Journal Entries'!F71</x:f>
        <x:v>1029</x:v>
      </x:c>
      <x:c r="G71" s="23" t="str">
        <x:f>'Journal Entries'!G71</x:f>
        <x:v>PK55HABB0022827200508103</x:v>
      </x:c>
      <x:c r="H71" s="30" t="n">
        <x:f>'Journal Entries'!H71</x:f>
        <x:v>0</x:v>
      </x:c>
      <x:c r="I71" s="30" t="n">
        <x:f>'Journal Entries'!I71</x:f>
        <x:v>30000</x:v>
      </x:c>
      <x:c r="J71" s="23" t="str">
        <x:f>'Journal Entries'!J71</x:f>
        <x:v>TRUCK IT IN PVT LTD</x:v>
      </x:c>
      <x:c r="K71" s="23" t="str">
        <x:f>'Journal Entries'!K71</x:f>
        <x:v>N/A</x:v>
      </x:c>
      <x:c r="L71" s="23" t="str">
        <x:f>'Journal Entries'!L71</x:f>
        <x:v>Posted</x:v>
      </x:c>
      <x:c r="M71" s="23" t="str">
        <x:f>'Journal Entries'!M71</x:f>
        <x:v>Operating - Payments</x:v>
      </x:c>
      <x:c r="N71" s="24" t="str">
        <x:f>'Journal Entries'!N71</x:f>
        <x:v>FS-000024</x:v>
      </x:c>
    </x:row>
    <x:row r="72">
      <x:c r="A72" s="22" t="str">
        <x:f>'Journal Entries'!A72</x:f>
        <x:v>JE-035</x:v>
      </x:c>
      <x:c r="B72" s="34" t="n">
        <x:f>'Journal Entries'!B72</x:f>
        <x:v>45849</x:v>
      </x:c>
      <x:c r="C72" s="23" t="str">
        <x:f>'Journal Entries'!C72</x:f>
        <x:v>Bank Statement</x:v>
      </x:c>
      <x:c r="D72" s="23" t="str">
        <x:f>'Journal Entries'!D72</x:f>
        <x:v>B09-003</x:v>
      </x:c>
      <x:c r="E72" s="23" t="str">
        <x:f>'Journal Entries'!E72</x:f>
        <x:v>Petty cash withdrawal</x:v>
      </x:c>
      <x:c r="F72" s="23" t="str">
        <x:f>'Journal Entries'!F72</x:f>
        <x:v>1068</x:v>
      </x:c>
      <x:c r="G72" s="23" t="str">
        <x:f>'Journal Entries'!G72</x:f>
        <x:v>Other Expenses</x:v>
      </x:c>
      <x:c r="H72" s="30" t="n">
        <x:f>'Journal Entries'!H72</x:f>
        <x:v>30000</x:v>
      </x:c>
      <x:c r="I72" s="30" t="n">
        <x:f>'Journal Entries'!I72</x:f>
        <x:v>0</x:v>
      </x:c>
      <x:c r="J72" s="23" t="str">
        <x:f>'Journal Entries'!J72</x:f>
        <x:v>TRUCK IT IN PVT LTD</x:v>
      </x:c>
      <x:c r="K72" s="23" t="str">
        <x:f>'Journal Entries'!K72</x:f>
        <x:v>N/A</x:v>
      </x:c>
      <x:c r="L72" s="23" t="str">
        <x:f>'Journal Entries'!L72</x:f>
        <x:v>Posted</x:v>
      </x:c>
      <x:c r="M72" s="23" t="str">
        <x:f>'Journal Entries'!M72</x:f>
        <x:v>Operating - Payments</x:v>
      </x:c>
      <x:c r="N72" s="24" t="str">
        <x:f>'Journal Entries'!N72</x:f>
        <x:v>FS-000024</x:v>
      </x:c>
    </x:row>
    <x:row r="73">
      <x:c r="A73" s="22" t="str">
        <x:f>'Journal Entries'!A73</x:f>
        <x:v>JE-036</x:v>
      </x:c>
      <x:c r="B73" s="34" t="n">
        <x:f>'Journal Entries'!B73</x:f>
        <x:v>45850</x:v>
      </x:c>
      <x:c r="C73" s="23" t="str">
        <x:f>'Journal Entries'!C73</x:f>
        <x:v>Bank Statement</x:v>
      </x:c>
      <x:c r="D73" s="23" t="str">
        <x:f>'Journal Entries'!D73</x:f>
        <x:v>TRF-09-10</x:v>
      </x:c>
      <x:c r="E73" s="23" t="str">
        <x:f>'Journal Entries'!E73</x:f>
        <x:v>Transfer to HBL Digital</x:v>
      </x:c>
      <x:c r="F73" s="23" t="str">
        <x:f>'Journal Entries'!F73</x:f>
        <x:v>1029</x:v>
      </x:c>
      <x:c r="G73" s="23" t="str">
        <x:f>'Journal Entries'!G73</x:f>
        <x:v>PK55HABB0022827200508103</x:v>
      </x:c>
      <x:c r="H73" s="30" t="n">
        <x:f>'Journal Entries'!H73</x:f>
        <x:v>0</x:v>
      </x:c>
      <x:c r="I73" s="30" t="n">
        <x:f>'Journal Entries'!I73</x:f>
        <x:v>100000</x:v>
      </x:c>
      <x:c r="J73" s="23" t="str">
        <x:f>'Journal Entries'!J73</x:f>
        <x:v>TRUCK IT IN PVT LTD</x:v>
      </x:c>
      <x:c r="K73" s="23" t="str">
        <x:f>'Journal Entries'!K73</x:f>
        <x:v>N/A</x:v>
      </x:c>
      <x:c r="L73" s="23" t="str">
        <x:f>'Journal Entries'!L73</x:f>
        <x:v>Posted</x:v>
      </x:c>
      <x:c r="M73" s="23" t="str">
        <x:f>'Journal Entries'!M73</x:f>
        <x:v>Transfer</x:v>
      </x:c>
      <x:c r="N73" s="24" t="str">
        <x:f>'Journal Entries'!N73</x:f>
        <x:v>FS-000020</x:v>
      </x:c>
    </x:row>
    <x:row r="74">
      <x:c r="A74" s="22" t="str">
        <x:f>'Journal Entries'!A74</x:f>
        <x:v>JE-036</x:v>
      </x:c>
      <x:c r="B74" s="34" t="n">
        <x:f>'Journal Entries'!B74</x:f>
        <x:v>45850</x:v>
      </x:c>
      <x:c r="C74" s="23" t="str">
        <x:f>'Journal Entries'!C74</x:f>
        <x:v>Bank Statement</x:v>
      </x:c>
      <x:c r="D74" s="23" t="str">
        <x:f>'Journal Entries'!D74</x:f>
        <x:v>TRF-09-10</x:v>
      </x:c>
      <x:c r="E74" s="23" t="str">
        <x:f>'Journal Entries'!E74</x:f>
        <x:v>Transfer to HBL Digital</x:v>
      </x:c>
      <x:c r="F74" s="23" t="str">
        <x:f>'Journal Entries'!F74</x:f>
        <x:v>1029</x:v>
      </x:c>
      <x:c r="G74" s="23" t="str">
        <x:f>'Journal Entries'!G74</x:f>
        <x:v>PK55HABB0022827200508103</x:v>
      </x:c>
      <x:c r="H74" s="30" t="n">
        <x:f>'Journal Entries'!H74</x:f>
        <x:v>100000</x:v>
      </x:c>
      <x:c r="I74" s="30" t="n">
        <x:f>'Journal Entries'!I74</x:f>
        <x:v>0</x:v>
      </x:c>
      <x:c r="J74" s="23" t="str">
        <x:f>'Journal Entries'!J74</x:f>
        <x:v>TRUCK IT IN PVT LTD</x:v>
      </x:c>
      <x:c r="K74" s="23" t="str">
        <x:f>'Journal Entries'!K74</x:f>
        <x:v>N/A</x:v>
      </x:c>
      <x:c r="L74" s="23" t="str">
        <x:f>'Journal Entries'!L74</x:f>
        <x:v>Posted</x:v>
      </x:c>
      <x:c r="M74" s="23" t="str">
        <x:f>'Journal Entries'!M74</x:f>
        <x:v>Transfer</x:v>
      </x:c>
      <x:c r="N74" s="24" t="str">
        <x:f>'Journal Entries'!N74</x:f>
        <x:v>FS-000020</x:v>
      </x:c>
    </x:row>
    <x:row r="75">
      <x:c r="A75" s="22" t="str">
        <x:f>'Journal Entries'!A75</x:f>
        <x:v>JE-037</x:v>
      </x:c>
      <x:c r="B75" s="34" t="n">
        <x:f>'Journal Entries'!B75</x:f>
        <x:v>45848</x:v>
      </x:c>
      <x:c r="C75" s="23" t="str">
        <x:f>'Journal Entries'!C75</x:f>
        <x:v>Bank Statement</x:v>
      </x:c>
      <x:c r="D75" s="23" t="str">
        <x:f>'Journal Entries'!D75</x:f>
        <x:v>TRF-09-10</x:v>
      </x:c>
      <x:c r="E75" s="23" t="str">
        <x:f>'Journal Entries'!E75</x:f>
        <x:v>Transfer received from HBL Reserve</x:v>
      </x:c>
      <x:c r="F75" s="23" t="str">
        <x:f>'Journal Entries'!F75</x:f>
        <x:v>1029</x:v>
      </x:c>
      <x:c r="G75" s="23" t="str">
        <x:f>'Journal Entries'!G75</x:f>
        <x:v>PK55HABB0022827200508103</x:v>
      </x:c>
      <x:c r="H75" s="30" t="n">
        <x:f>'Journal Entries'!H75</x:f>
        <x:v>100000</x:v>
      </x:c>
      <x:c r="I75" s="30" t="n">
        <x:f>'Journal Entries'!I75</x:f>
        <x:v>0</x:v>
      </x:c>
      <x:c r="J75" s="23" t="str">
        <x:f>'Journal Entries'!J75</x:f>
        <x:v>TRUCK IT IN PVT LTD</x:v>
      </x:c>
      <x:c r="K75" s="23" t="str">
        <x:f>'Journal Entries'!K75</x:f>
        <x:v>N/A</x:v>
      </x:c>
      <x:c r="L75" s="23" t="str">
        <x:f>'Journal Entries'!L75</x:f>
        <x:v>Posted</x:v>
      </x:c>
      <x:c r="M75" s="23" t="str">
        <x:f>'Journal Entries'!M75</x:f>
        <x:v>Transfer</x:v>
      </x:c>
      <x:c r="N75" s="24" t="str">
        <x:f>'Journal Entries'!N75</x:f>
        <x:v>FS-000020</x:v>
      </x:c>
    </x:row>
    <x:row r="76">
      <x:c r="A76" s="22" t="str">
        <x:f>'Journal Entries'!A76</x:f>
        <x:v>JE-037</x:v>
      </x:c>
      <x:c r="B76" s="34" t="n">
        <x:f>'Journal Entries'!B76</x:f>
        <x:v>45848</x:v>
      </x:c>
      <x:c r="C76" s="23" t="str">
        <x:f>'Journal Entries'!C76</x:f>
        <x:v>Bank Statement</x:v>
      </x:c>
      <x:c r="D76" s="23" t="str">
        <x:f>'Journal Entries'!D76</x:f>
        <x:v>TRF-09-10</x:v>
      </x:c>
      <x:c r="E76" s="23" t="str">
        <x:f>'Journal Entries'!E76</x:f>
        <x:v>Transfer received from HBL Reserve</x:v>
      </x:c>
      <x:c r="F76" s="23" t="str">
        <x:f>'Journal Entries'!F76</x:f>
        <x:v>1029</x:v>
      </x:c>
      <x:c r="G76" s="23" t="str">
        <x:f>'Journal Entries'!G76</x:f>
        <x:v>PK55HABB0022827200508103</x:v>
      </x:c>
      <x:c r="H76" s="30" t="n">
        <x:f>'Journal Entries'!H76</x:f>
        <x:v>0</x:v>
      </x:c>
      <x:c r="I76" s="30" t="n">
        <x:f>'Journal Entries'!I76</x:f>
        <x:v>100000</x:v>
      </x:c>
      <x:c r="J76" s="23" t="str">
        <x:f>'Journal Entries'!J76</x:f>
        <x:v>TRUCK IT IN PVT LTD</x:v>
      </x:c>
      <x:c r="K76" s="23" t="str">
        <x:f>'Journal Entries'!K76</x:f>
        <x:v>N/A</x:v>
      </x:c>
      <x:c r="L76" s="23" t="str">
        <x:f>'Journal Entries'!L76</x:f>
        <x:v>Posted</x:v>
      </x:c>
      <x:c r="M76" s="23" t="str">
        <x:f>'Journal Entries'!M76</x:f>
        <x:v>Transfer</x:v>
      </x:c>
      <x:c r="N76" s="24" t="str">
        <x:f>'Journal Entries'!N76</x:f>
        <x:v>FS-000020</x:v>
      </x:c>
    </x:row>
    <x:row r="77">
      <x:c r="A77" s="22" t="str">
        <x:f>'Journal Entries'!A77</x:f>
        <x:v>JE-038</x:v>
      </x:c>
      <x:c r="B77" s="34" t="n">
        <x:f>'Journal Entries'!B77</x:f>
        <x:v>45849</x:v>
      </x:c>
      <x:c r="C77" s="23" t="str">
        <x:f>'Journal Entries'!C77</x:f>
        <x:v>Bank Statement</x:v>
      </x:c>
      <x:c r="D77" s="23" t="str">
        <x:f>'Journal Entries'!D77</x:f>
        <x:v>B10-002</x:v>
      </x:c>
      <x:c r="E77" s="23" t="str">
        <x:f>'Journal Entries'!E77</x:f>
        <x:v>Customer collection — digital wallet</x:v>
      </x:c>
      <x:c r="F77" s="23" t="str">
        <x:f>'Journal Entries'!F77</x:f>
        <x:v>1029</x:v>
      </x:c>
      <x:c r="G77" s="23" t="str">
        <x:f>'Journal Entries'!G77</x:f>
        <x:v>PK55HABB0022827200508103</x:v>
      </x:c>
      <x:c r="H77" s="30" t="n">
        <x:f>'Journal Entries'!H77</x:f>
        <x:v>200000</x:v>
      </x:c>
      <x:c r="I77" s="30" t="n">
        <x:f>'Journal Entries'!I77</x:f>
        <x:v>0</x:v>
      </x:c>
      <x:c r="J77" s="23" t="str">
        <x:f>'Journal Entries'!J77</x:f>
        <x:v>TRUCK IT IN PVT LTD</x:v>
      </x:c>
      <x:c r="K77" s="23" t="str">
        <x:f>'Journal Entries'!K77</x:f>
        <x:v>N/A</x:v>
      </x:c>
      <x:c r="L77" s="23" t="str">
        <x:f>'Journal Entries'!L77</x:f>
        <x:v>Posted</x:v>
      </x:c>
      <x:c r="M77" s="23" t="str">
        <x:f>'Journal Entries'!M77</x:f>
        <x:v>Operating - Receipts</x:v>
      </x:c>
      <x:c r="N77" s="24" t="str">
        <x:f>'Journal Entries'!N77</x:f>
        <x:v>FS-000022</x:v>
      </x:c>
    </x:row>
    <x:row r="78">
      <x:c r="A78" s="22" t="str">
        <x:f>'Journal Entries'!A78</x:f>
        <x:v>JE-038</x:v>
      </x:c>
      <x:c r="B78" s="34" t="n">
        <x:f>'Journal Entries'!B78</x:f>
        <x:v>45849</x:v>
      </x:c>
      <x:c r="C78" s="23" t="str">
        <x:f>'Journal Entries'!C78</x:f>
        <x:v>Bank Statement</x:v>
      </x:c>
      <x:c r="D78" s="23" t="str">
        <x:f>'Journal Entries'!D78</x:f>
        <x:v>B10-002</x:v>
      </x:c>
      <x:c r="E78" s="23" t="str">
        <x:f>'Journal Entries'!E78</x:f>
        <x:v>Customer collection — digital wallet</x:v>
      </x:c>
      <x:c r="F78" s="23" t="str">
        <x:f>'Journal Entries'!F78</x:f>
        <x:v>1050</x:v>
      </x:c>
      <x:c r="G78" s="23" t="str">
        <x:f>'Journal Entries'!G78</x:f>
        <x:v>Sales revenue</x:v>
      </x:c>
      <x:c r="H78" s="30" t="n">
        <x:f>'Journal Entries'!H78</x:f>
        <x:v>0</x:v>
      </x:c>
      <x:c r="I78" s="30" t="n">
        <x:f>'Journal Entries'!I78</x:f>
        <x:v>200000</x:v>
      </x:c>
      <x:c r="J78" s="23" t="str">
        <x:f>'Journal Entries'!J78</x:f>
        <x:v>TRUCK IT IN PVT LTD</x:v>
      </x:c>
      <x:c r="K78" s="23" t="str">
        <x:f>'Journal Entries'!K78</x:f>
        <x:v>N/A</x:v>
      </x:c>
      <x:c r="L78" s="23" t="str">
        <x:f>'Journal Entries'!L78</x:f>
        <x:v>Posted</x:v>
      </x:c>
      <x:c r="M78" s="23" t="str">
        <x:f>'Journal Entries'!M78</x:f>
        <x:v>Operating - Receipts</x:v>
      </x:c>
      <x:c r="N78" s="24" t="str">
        <x:f>'Journal Entries'!N78</x:f>
        <x:v>FS-000022</x:v>
      </x:c>
    </x:row>
    <x:row r="79">
      <x:c r="A79" s="22" t="str">
        <x:f>'Journal Entries'!A79</x:f>
        <x:v>JE-039</x:v>
      </x:c>
      <x:c r="B79" s="34" t="n">
        <x:f>'Journal Entries'!B79</x:f>
        <x:v>45850</x:v>
      </x:c>
      <x:c r="C79" s="23" t="str">
        <x:f>'Journal Entries'!C79</x:f>
        <x:v>Bank Statement</x:v>
      </x:c>
      <x:c r="D79" s="23" t="str">
        <x:f>'Journal Entries'!D79</x:f>
        <x:v>B10-003</x:v>
      </x:c>
      <x:c r="E79" s="23" t="str">
        <x:f>'Journal Entries'!E79</x:f>
        <x:v>Bank service charges</x:v>
      </x:c>
      <x:c r="F79" s="23" t="str">
        <x:f>'Journal Entries'!F79</x:f>
        <x:v>1029</x:v>
      </x:c>
      <x:c r="G79" s="23" t="str">
        <x:f>'Journal Entries'!G79</x:f>
        <x:v>PK55HABB0022827200508103</x:v>
      </x:c>
      <x:c r="H79" s="30" t="n">
        <x:f>'Journal Entries'!H79</x:f>
        <x:v>0</x:v>
      </x:c>
      <x:c r="I79" s="30" t="n">
        <x:f>'Journal Entries'!I79</x:f>
        <x:v>6000</x:v>
      </x:c>
      <x:c r="J79" s="23" t="str">
        <x:f>'Journal Entries'!J79</x:f>
        <x:v>TRUCK IT IN PVT LTD</x:v>
      </x:c>
      <x:c r="K79" s="23" t="str">
        <x:f>'Journal Entries'!K79</x:f>
        <x:v>N/A</x:v>
      </x:c>
      <x:c r="L79" s="23" t="str">
        <x:f>'Journal Entries'!L79</x:f>
        <x:v>Posted</x:v>
      </x:c>
      <x:c r="M79" s="23" t="str">
        <x:f>'Journal Entries'!M79</x:f>
        <x:v>Operating - Payments</x:v>
      </x:c>
      <x:c r="N79" s="24" t="str">
        <x:f>'Journal Entries'!N79</x:f>
        <x:v>FS-000008</x:v>
      </x:c>
    </x:row>
    <x:row r="80">
      <x:c r="A80" s="22" t="str">
        <x:f>'Journal Entries'!A80</x:f>
        <x:v>JE-039</x:v>
      </x:c>
      <x:c r="B80" s="34" t="n">
        <x:f>'Journal Entries'!B80</x:f>
        <x:v>45850</x:v>
      </x:c>
      <x:c r="C80" s="23" t="str">
        <x:f>'Journal Entries'!C80</x:f>
        <x:v>Bank Statement</x:v>
      </x:c>
      <x:c r="D80" s="23" t="str">
        <x:f>'Journal Entries'!D80</x:f>
        <x:v>B10-003</x:v>
      </x:c>
      <x:c r="E80" s="23" t="str">
        <x:f>'Journal Entries'!E80</x:f>
        <x:v>Bank service charges</x:v>
      </x:c>
      <x:c r="F80" s="23" t="str">
        <x:f>'Journal Entries'!F80</x:f>
        <x:v>1057</x:v>
      </x:c>
      <x:c r="G80" s="23" t="str">
        <x:f>'Journal Entries'!G80</x:f>
        <x:v>Bank Charges</x:v>
      </x:c>
      <x:c r="H80" s="30" t="n">
        <x:f>'Journal Entries'!H80</x:f>
        <x:v>6000</x:v>
      </x:c>
      <x:c r="I80" s="30" t="n">
        <x:f>'Journal Entries'!I80</x:f>
        <x:v>0</x:v>
      </x:c>
      <x:c r="J80" s="23" t="str">
        <x:f>'Journal Entries'!J80</x:f>
        <x:v>TRUCK IT IN PVT LTD</x:v>
      </x:c>
      <x:c r="K80" s="23" t="str">
        <x:f>'Journal Entries'!K80</x:f>
        <x:v>N/A</x:v>
      </x:c>
      <x:c r="L80" s="23" t="str">
        <x:f>'Journal Entries'!L80</x:f>
        <x:v>Posted</x:v>
      </x:c>
      <x:c r="M80" s="23" t="str">
        <x:f>'Journal Entries'!M80</x:f>
        <x:v>Operating - Payments</x:v>
      </x:c>
      <x:c r="N80" s="24" t="str">
        <x:f>'Journal Entries'!N80</x:f>
        <x:v>FS-000008</x:v>
      </x:c>
    </x:row>
    <x:row r="81">
      <x:c r="A81" s="22" t="str">
        <x:f>'Journal Entries'!A81</x:f>
        <x:v>JE-040</x:v>
      </x:c>
      <x:c r="B81" s="34" t="n">
        <x:f>'Journal Entries'!B81</x:f>
        <x:v>45851</x:v>
      </x:c>
      <x:c r="C81" s="23" t="str">
        <x:f>'Journal Entries'!C81</x:f>
        <x:v>Bank Statement</x:v>
      </x:c>
      <x:c r="D81" s="23" t="str">
        <x:f>'Journal Entries'!D81</x:f>
        <x:v>B10-004</x:v>
      </x:c>
      <x:c r="E81" s="23" t="str">
        <x:f>'Journal Entries'!E81</x:f>
        <x:v>Vendor withholding tax payment</x:v>
      </x:c>
      <x:c r="F81" s="23" t="str">
        <x:f>'Journal Entries'!F81</x:f>
        <x:v>1029</x:v>
      </x:c>
      <x:c r="G81" s="23" t="str">
        <x:f>'Journal Entries'!G81</x:f>
        <x:v>PK55HABB0022827200508103</x:v>
      </x:c>
      <x:c r="H81" s="30" t="n">
        <x:f>'Journal Entries'!H81</x:f>
        <x:v>0</x:v>
      </x:c>
      <x:c r="I81" s="30" t="n">
        <x:f>'Journal Entries'!I81</x:f>
        <x:v>12000</x:v>
      </x:c>
      <x:c r="J81" s="23" t="str">
        <x:f>'Journal Entries'!J81</x:f>
        <x:v>TRUCK IT IN PVT LTD</x:v>
      </x:c>
      <x:c r="K81" s="23" t="str">
        <x:f>'Journal Entries'!K81</x:f>
        <x:v>N/A</x:v>
      </x:c>
      <x:c r="L81" s="23" t="str">
        <x:f>'Journal Entries'!L81</x:f>
        <x:v>Posted</x:v>
      </x:c>
      <x:c r="M81" s="23" t="str">
        <x:f>'Journal Entries'!M81</x:f>
        <x:v>Operating - Payments</x:v>
      </x:c>
      <x:c r="N81" s="24" t="str">
        <x:f>'Journal Entries'!N81</x:f>
        <x:v>FS-000023</x:v>
      </x:c>
    </x:row>
    <x:row r="82">
      <x:c r="A82" s="22" t="str">
        <x:f>'Journal Entries'!A82</x:f>
        <x:v>JE-040</x:v>
      </x:c>
      <x:c r="B82" s="34" t="n">
        <x:f>'Journal Entries'!B82</x:f>
        <x:v>45851</x:v>
      </x:c>
      <x:c r="C82" s="23" t="str">
        <x:f>'Journal Entries'!C82</x:f>
        <x:v>Bank Statement</x:v>
      </x:c>
      <x:c r="D82" s="23" t="str">
        <x:f>'Journal Entries'!D82</x:f>
        <x:v>B10-004</x:v>
      </x:c>
      <x:c r="E82" s="23" t="str">
        <x:f>'Journal Entries'!E82</x:f>
        <x:v>Vendor withholding tax payment</x:v>
      </x:c>
      <x:c r="F82" s="23" t="str">
        <x:f>'Journal Entries'!F82</x:f>
        <x:v>1036</x:v>
      </x:c>
      <x:c r="G82" s="23" t="str">
        <x:f>'Journal Entries'!G82</x:f>
        <x:v>Withholding tax payable:Withholding tax - Vendors</x:v>
      </x:c>
      <x:c r="H82" s="30" t="n">
        <x:f>'Journal Entries'!H82</x:f>
        <x:v>12000</x:v>
      </x:c>
      <x:c r="I82" s="30" t="n">
        <x:f>'Journal Entries'!I82</x:f>
        <x:v>0</x:v>
      </x:c>
      <x:c r="J82" s="23" t="str">
        <x:f>'Journal Entries'!J82</x:f>
        <x:v>TRUCK IT IN PVT LTD</x:v>
      </x:c>
      <x:c r="K82" s="23" t="str">
        <x:f>'Journal Entries'!K82</x:f>
        <x:v>N/A</x:v>
      </x:c>
      <x:c r="L82" s="23" t="str">
        <x:f>'Journal Entries'!L82</x:f>
        <x:v>Posted</x:v>
      </x:c>
      <x:c r="M82" s="23" t="str">
        <x:f>'Journal Entries'!M82</x:f>
        <x:v>Operating - Payments</x:v>
      </x:c>
      <x:c r="N82" s="24" t="str">
        <x:f>'Journal Entries'!N82</x:f>
        <x:v>FS-000023</x:v>
      </x:c>
    </x:row>
    <x:row r="83">
      <x:c r="A83" s="22" t="str">
        <x:f>'Journal Entries'!A83</x:f>
        <x:v>NB-001</x:v>
      </x:c>
      <x:c r="B83" s="34" t="n">
        <x:f>'Journal Entries'!B83</x:f>
        <x:v>45869</x:v>
      </x:c>
      <x:c r="C83" s="23" t="str">
        <x:f>'Journal Entries'!C83</x:f>
        <x:v>Non-Bank Entry</x:v>
      </x:c>
      <x:c r="D83" s="23" t="str">
        <x:f>'Journal Entries'!D83</x:f>
        <x:v>NB-001</x:v>
      </x:c>
      <x:c r="E83" s="23" t="str">
        <x:f>'Journal Entries'!E83</x:f>
        <x:v>Monthly depreciation</x:v>
      </x:c>
      <x:c r="F83" s="23" t="n">
        <x:f>'Journal Entries'!F83</x:f>
        <x:v>1064</x:v>
      </x:c>
      <x:c r="G83" s="23" t="str">
        <x:f>'Journal Entries'!G83</x:f>
        <x:v>Depreciation</x:v>
      </x:c>
      <x:c r="H83" s="30" t="n">
        <x:f>'Journal Entries'!H83</x:f>
        <x:v>50000</x:v>
      </x:c>
      <x:c r="I83" s="30" t="n">
        <x:f>'Journal Entries'!I83</x:f>
        <x:v>0</x:v>
      </x:c>
      <x:c r="J83" s="23" t="str">
        <x:f>'Journal Entries'!J83</x:f>
        <x:v>TRUCK IT IN PVT LTD</x:v>
      </x:c>
      <x:c r="K83" s="23" t="str">
        <x:f>'Journal Entries'!K83</x:f>
        <x:v>N/A</x:v>
      </x:c>
      <x:c r="L83" s="23" t="str">
        <x:f>'Journal Entries'!L83</x:f>
        <x:v>Posted</x:v>
      </x:c>
      <x:c r="M83" s="23" t="str">
        <x:f>'Journal Entries'!M83</x:f>
        <x:v>Non-cash</x:v>
      </x:c>
      <x:c r="N83" s="24" t="n">
        <x:f>'Journal Entries'!N83</x:f>
        <x:v>0</x:v>
      </x:c>
    </x:row>
    <x:row r="84">
      <x:c r="A84" s="25" t="str">
        <x:f>'Journal Entries'!A84</x:f>
        <x:v>NB-001</x:v>
      </x:c>
      <x:c r="B84" s="36" t="n">
        <x:f>'Journal Entries'!B84</x:f>
        <x:v>45869</x:v>
      </x:c>
      <x:c r="C84" s="26" t="str">
        <x:f>'Journal Entries'!C84</x:f>
        <x:v>Non-Bank Entry</x:v>
      </x:c>
      <x:c r="D84" s="26" t="str">
        <x:f>'Journal Entries'!D84</x:f>
        <x:v>NB-001</x:v>
      </x:c>
      <x:c r="E84" s="26" t="str">
        <x:f>'Journal Entries'!E84</x:f>
        <x:v>Monthly depreciation</x:v>
      </x:c>
      <x:c r="F84" s="26" t="n">
        <x:f>'Journal Entries'!F84</x:f>
        <x:v>1017</x:v>
      </x:c>
      <x:c r="G84" s="26" t="str">
        <x:f>'Journal Entries'!G84</x:f>
        <x:v>Accumulated depreciation</x:v>
      </x:c>
      <x:c r="H84" s="31" t="n">
        <x:f>'Journal Entries'!H84</x:f>
        <x:v>0</x:v>
      </x:c>
      <x:c r="I84" s="31" t="n">
        <x:f>'Journal Entries'!I84</x:f>
        <x:v>50000</x:v>
      </x:c>
      <x:c r="J84" s="26" t="str">
        <x:f>'Journal Entries'!J84</x:f>
        <x:v>TRUCK IT IN PVT LTD</x:v>
      </x:c>
      <x:c r="K84" s="26" t="str">
        <x:f>'Journal Entries'!K84</x:f>
        <x:v>N/A</x:v>
      </x:c>
      <x:c r="L84" s="26" t="str">
        <x:f>'Journal Entries'!L84</x:f>
        <x:v>Posted</x:v>
      </x:c>
      <x:c r="M84" s="26" t="str">
        <x:f>'Journal Entries'!M84</x:f>
        <x:v>Non-cash</x:v>
      </x:c>
      <x:c r="N84" s="27" t="n">
        <x:f>'Journal Entries'!N84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26" customHeight="1">
      <x:c r="A1" s="3" t="str">
        <x:v>Opening Balances — 1 July 2025</x:v>
      </x:c>
    </x:row>
    <x:row r="2">
      <x:c r="A2" s="19" t="str">
        <x:v>GL Code</x:v>
      </x:c>
      <x:c r="B2" s="20" t="str">
        <x:v>GL Account</x:v>
      </x:c>
      <x:c r="C2" s="20" t="str">
        <x:v>Source Classification</x:v>
      </x:c>
      <x:c r="D2" s="20" t="str">
        <x:v>Opening Debit</x:v>
      </x:c>
      <x:c r="E2" s="20" t="str">
        <x:v>Opening Credit</x:v>
      </x:c>
      <x:c r="F2" s="21" t="str">
        <x:v>Note</x:v>
      </x:c>
    </x:row>
    <x:row r="3">
      <x:c r="A3" s="22" t="str">
        <x:v>1011</x:v>
      </x:c>
      <x:c r="B3" s="23" t="str">
        <x:v>Furniture and fixture</x:v>
      </x:c>
      <x:c r="C3" s="23" t="str">
        <x:v>Assets</x:v>
      </x:c>
      <x:c r="D3" s="30" t="n">
        <x:v>100000</x:v>
      </x:c>
      <x:c r="E3" s="30" t="n">
        <x:v>0</x:v>
      </x:c>
      <x:c r="F3" s="24" t="str">
        <x:v>Dummy opening balance</x:v>
      </x:c>
    </x:row>
    <x:row r="4">
      <x:c r="A4" s="22" t="str">
        <x:v>1012</x:v>
      </x:c>
      <x:c r="B4" s="23" t="str">
        <x:v>Leasehold building</x:v>
      </x:c>
      <x:c r="C4" s="23" t="str">
        <x:v>Assets</x:v>
      </x:c>
      <x:c r="D4" s="30" t="n">
        <x:v>0</x:v>
      </x:c>
      <x:c r="E4" s="30" t="n">
        <x:v>0</x:v>
      </x:c>
      <x:c r="F4" s="24" t="str">
        <x:v>Dummy opening balance</x:v>
      </x:c>
    </x:row>
    <x:row r="5">
      <x:c r="A5" s="22" t="str">
        <x:v>1013</x:v>
      </x:c>
      <x:c r="B5" s="23" t="str">
        <x:v>Computers</x:v>
      </x:c>
      <x:c r="C5" s="23" t="str">
        <x:v>Assets</x:v>
      </x:c>
      <x:c r="D5" s="30" t="n">
        <x:v>150000</x:v>
      </x:c>
      <x:c r="E5" s="30" t="n">
        <x:v>0</x:v>
      </x:c>
      <x:c r="F5" s="24" t="str">
        <x:v>Dummy opening balance</x:v>
      </x:c>
    </x:row>
    <x:row r="6">
      <x:c r="A6" s="22" t="str">
        <x:v>1014</x:v>
      </x:c>
      <x:c r="B6" s="23" t="str">
        <x:v>Office Equipments</x:v>
      </x:c>
      <x:c r="C6" s="23" t="str">
        <x:v>Assets</x:v>
      </x:c>
      <x:c r="D6" s="30" t="n">
        <x:v>50000</x:v>
      </x:c>
      <x:c r="E6" s="30" t="n">
        <x:v>0</x:v>
      </x:c>
      <x:c r="F6" s="24" t="str">
        <x:v>Dummy opening balance</x:v>
      </x:c>
    </x:row>
    <x:row r="7">
      <x:c r="A7" s="22" t="str">
        <x:v>1015</x:v>
      </x:c>
      <x:c r="B7" s="23" t="str">
        <x:v>Vehicles</x:v>
      </x:c>
      <x:c r="C7" s="23" t="str">
        <x:v>Assets</x:v>
      </x:c>
      <x:c r="D7" s="30" t="n">
        <x:v>600000</x:v>
      </x:c>
      <x:c r="E7" s="30" t="n">
        <x:v>0</x:v>
      </x:c>
      <x:c r="F7" s="24" t="str">
        <x:v>Dummy opening balance</x:v>
      </x:c>
    </x:row>
    <x:row r="8">
      <x:c r="A8" s="22" t="str">
        <x:v>1016</x:v>
      </x:c>
      <x:c r="B8" s="23" t="str">
        <x:v>Intangible Assets</x:v>
      </x:c>
      <x:c r="C8" s="23" t="str">
        <x:v>Assets</x:v>
      </x:c>
      <x:c r="D8" s="30" t="n">
        <x:v>50000</x:v>
      </x:c>
      <x:c r="E8" s="30" t="n">
        <x:v>0</x:v>
      </x:c>
      <x:c r="F8" s="24" t="str">
        <x:v>Dummy opening balance</x:v>
      </x:c>
    </x:row>
    <x:row r="9">
      <x:c r="A9" s="22" t="str">
        <x:v>1017</x:v>
      </x:c>
      <x:c r="B9" s="23" t="str">
        <x:v>Accumulated depreciation</x:v>
      </x:c>
      <x:c r="C9" s="23" t="str">
        <x:v>Assets</x:v>
      </x:c>
      <x:c r="D9" s="30" t="n">
        <x:v>0</x:v>
      </x:c>
      <x:c r="E9" s="30" t="n">
        <x:v>100000</x:v>
      </x:c>
      <x:c r="F9" s="24" t="str">
        <x:v>Dummy opening balance</x:v>
      </x:c>
    </x:row>
    <x:row r="10">
      <x:c r="A10" s="22" t="str">
        <x:v>1018</x:v>
      </x:c>
      <x:c r="B10" s="23" t="str">
        <x:v>Trade Debtors</x:v>
      </x:c>
      <x:c r="C10" s="23" t="str">
        <x:v>Assets</x:v>
      </x:c>
      <x:c r="D10" s="30" t="n">
        <x:v>2000000</x:v>
      </x:c>
      <x:c r="E10" s="30" t="n">
        <x:v>0</x:v>
      </x:c>
      <x:c r="F10" s="24" t="str">
        <x:v>Dummy opening balance</x:v>
      </x:c>
    </x:row>
    <x:row r="11">
      <x:c r="A11" s="22" t="str">
        <x:v>1019</x:v>
      </x:c>
      <x:c r="B11" s="23" t="str">
        <x:v>Advance to carriers</x:v>
      </x:c>
      <x:c r="C11" s="23" t="str">
        <x:v>Assets</x:v>
      </x:c>
      <x:c r="D11" s="30" t="n">
        <x:v>0</x:v>
      </x:c>
      <x:c r="E11" s="30" t="n">
        <x:v>0</x:v>
      </x:c>
      <x:c r="F11" s="24" t="str">
        <x:v>Dummy opening balance</x:v>
      </x:c>
    </x:row>
    <x:row r="12">
      <x:c r="A12" s="22" t="str">
        <x:v>1020</x:v>
      </x:c>
      <x:c r="B12" s="23" t="str">
        <x:v>Advance to BYOD</x:v>
      </x:c>
      <x:c r="C12" s="23" t="str">
        <x:v>Assets</x:v>
      </x:c>
      <x:c r="D12" s="30" t="n">
        <x:v>0</x:v>
      </x:c>
      <x:c r="E12" s="30" t="n">
        <x:v>0</x:v>
      </x:c>
      <x:c r="F12" s="24" t="str">
        <x:v>Dummy opening balance</x:v>
      </x:c>
    </x:row>
    <x:row r="13">
      <x:c r="A13" s="22" t="str">
        <x:v>1021</x:v>
      </x:c>
      <x:c r="B13" s="23" t="str">
        <x:v>Security deposit-Office</x:v>
      </x:c>
      <x:c r="C13" s="23" t="str">
        <x:v>Assets</x:v>
      </x:c>
      <x:c r="D13" s="30" t="n">
        <x:v>300000</x:v>
      </x:c>
      <x:c r="E13" s="30" t="n">
        <x:v>0</x:v>
      </x:c>
      <x:c r="F13" s="24" t="str">
        <x:v>Dummy opening balance</x:v>
      </x:c>
    </x:row>
    <x:row r="14">
      <x:c r="A14" s="22" t="str">
        <x:v>1022</x:v>
      </x:c>
      <x:c r="B14" s="23" t="str">
        <x:v>Security Deposits - Customer</x:v>
      </x:c>
      <x:c r="C14" s="23" t="str">
        <x:v>Assets</x:v>
      </x:c>
      <x:c r="D14" s="30" t="n">
        <x:v>0</x:v>
      </x:c>
      <x:c r="E14" s="30" t="n">
        <x:v>0</x:v>
      </x:c>
      <x:c r="F14" s="24" t="str">
        <x:v>Dummy opening balance</x:v>
      </x:c>
    </x:row>
    <x:row r="15">
      <x:c r="A15" s="22" t="str">
        <x:v>1023</x:v>
      </x:c>
      <x:c r="B15" s="23" t="str">
        <x:v>Security deposit - carriers</x:v>
      </x:c>
      <x:c r="C15" s="23" t="str">
        <x:v>Assets</x:v>
      </x:c>
      <x:c r="D15" s="30" t="n">
        <x:v>0</x:v>
      </x:c>
      <x:c r="E15" s="30" t="n">
        <x:v>0</x:v>
      </x:c>
      <x:c r="F15" s="24" t="str">
        <x:v>Dummy opening balance</x:v>
      </x:c>
    </x:row>
    <x:row r="16">
      <x:c r="A16" s="22" t="str">
        <x:v>1024</x:v>
      </x:c>
      <x:c r="B16" s="23" t="str">
        <x:v>Bank Guarrantee</x:v>
      </x:c>
      <x:c r="C16" s="23" t="str">
        <x:v>Assets</x:v>
      </x:c>
      <x:c r="D16" s="30" t="n">
        <x:v>0</x:v>
      </x:c>
      <x:c r="E16" s="30" t="n">
        <x:v>0</x:v>
      </x:c>
      <x:c r="F16" s="24" t="str">
        <x:v>Dummy opening balance</x:v>
      </x:c>
    </x:row>
    <x:row r="17">
      <x:c r="A17" s="22" t="str">
        <x:v>1025</x:v>
      </x:c>
      <x:c r="B17" s="23" t="str">
        <x:v>Advance to Employees</x:v>
      </x:c>
      <x:c r="C17" s="23" t="str">
        <x:v>Assets</x:v>
      </x:c>
      <x:c r="D17" s="30" t="n">
        <x:v>100000</x:v>
      </x:c>
      <x:c r="E17" s="30" t="n">
        <x:v>0</x:v>
      </x:c>
      <x:c r="F17" s="24" t="str">
        <x:v>Dummy opening balance</x:v>
      </x:c>
    </x:row>
    <x:row r="18">
      <x:c r="A18" s="22" t="str">
        <x:v>1026</x:v>
      </x:c>
      <x:c r="B18" s="23" t="str">
        <x:v>Prepayments</x:v>
      </x:c>
      <x:c r="C18" s="23" t="str">
        <x:v>Assets</x:v>
      </x:c>
      <x:c r="D18" s="30" t="n">
        <x:v>100000</x:v>
      </x:c>
      <x:c r="E18" s="30" t="n">
        <x:v>0</x:v>
      </x:c>
      <x:c r="F18" s="24" t="str">
        <x:v>Dummy opening balance</x:v>
      </x:c>
    </x:row>
    <x:row r="19">
      <x:c r="A19" s="22" t="str">
        <x:v>1027</x:v>
      </x:c>
      <x:c r="B19" s="23" t="str">
        <x:v>Input sales tax</x:v>
      </x:c>
      <x:c r="C19" s="23" t="str">
        <x:v>Libailities</x:v>
      </x:c>
      <x:c r="D19" s="30" t="n">
        <x:v>0</x:v>
      </x:c>
      <x:c r="E19" s="30" t="n">
        <x:v>0</x:v>
      </x:c>
      <x:c r="F19" s="24" t="str">
        <x:v>Dummy opening balance</x:v>
      </x:c>
    </x:row>
    <x:row r="20">
      <x:c r="A20" s="22" t="str">
        <x:v>1028</x:v>
      </x:c>
      <x:c r="B20" s="23" t="str">
        <x:v>PK49DUIB0000000627075001</x:v>
      </x:c>
      <x:c r="C20" s="23" t="str">
        <x:v>Assets</x:v>
      </x:c>
      <x:c r="D20" s="30" t="n">
        <x:v>500000</x:v>
      </x:c>
      <x:c r="E20" s="30" t="n">
        <x:v>0</x:v>
      </x:c>
      <x:c r="F20" s="24" t="str">
        <x:v>Dummy opening balance</x:v>
      </x:c>
    </x:row>
    <x:row r="21">
      <x:c r="A21" s="22" t="str">
        <x:v>1029</x:v>
      </x:c>
      <x:c r="B21" s="23" t="str">
        <x:v>PK55HABB0022827200508103</x:v>
      </x:c>
      <x:c r="C21" s="23" t="str">
        <x:v>Assets</x:v>
      </x:c>
      <x:c r="D21" s="30" t="n">
        <x:v>1500000</x:v>
      </x:c>
      <x:c r="E21" s="30" t="n">
        <x:v>0</x:v>
      </x:c>
      <x:c r="F21" s="24" t="str">
        <x:v>Dummy opening balance</x:v>
      </x:c>
    </x:row>
    <x:row r="22">
      <x:c r="A22" s="22" t="str">
        <x:v>1030</x:v>
      </x:c>
      <x:c r="B22" s="23" t="str">
        <x:v>PK24MEZN0001110107095251</x:v>
      </x:c>
      <x:c r="C22" s="23" t="str">
        <x:v>Assets</x:v>
      </x:c>
      <x:c r="D22" s="30" t="n">
        <x:v>1000000</x:v>
      </x:c>
      <x:c r="E22" s="30" t="n">
        <x:v>0</x:v>
      </x:c>
      <x:c r="F22" s="24" t="str">
        <x:v>Dummy opening balance</x:v>
      </x:c>
    </x:row>
    <x:row r="23">
      <x:c r="A23" s="22" t="str">
        <x:v>1031</x:v>
      </x:c>
      <x:c r="B23" s="23" t="str">
        <x:v>PK75MPBL0124067140164610</x:v>
      </x:c>
      <x:c r="C23" s="23" t="str">
        <x:v>Assets</x:v>
      </x:c>
      <x:c r="D23" s="30" t="n">
        <x:v>800000</x:v>
      </x:c>
      <x:c r="E23" s="30" t="n">
        <x:v>0</x:v>
      </x:c>
      <x:c r="F23" s="24" t="str">
        <x:v>Dummy opening balance</x:v>
      </x:c>
    </x:row>
    <x:row r="24">
      <x:c r="A24" s="22" t="str">
        <x:v>1032</x:v>
      </x:c>
      <x:c r="B24" s="23" t="str">
        <x:v>Sales Tax Payable</x:v>
      </x:c>
      <x:c r="C24" s="23" t="str">
        <x:v>Libailities</x:v>
      </x:c>
      <x:c r="D24" s="30" t="n">
        <x:v>0</x:v>
      </x:c>
      <x:c r="E24" s="30" t="n">
        <x:v>250000</x:v>
      </x:c>
      <x:c r="F24" s="24" t="str">
        <x:v>Dummy opening balance</x:v>
      </x:c>
    </x:row>
    <x:row r="25">
      <x:c r="A25" s="22" t="str">
        <x:v>1033</x:v>
      </x:c>
      <x:c r="B25" s="23" t="str">
        <x:v>Contract liability</x:v>
      </x:c>
      <x:c r="C25" s="23" t="str">
        <x:v>Libailities</x:v>
      </x:c>
      <x:c r="D25" s="30" t="n">
        <x:v>0</x:v>
      </x:c>
      <x:c r="E25" s="30" t="n">
        <x:v>500000</x:v>
      </x:c>
      <x:c r="F25" s="24" t="str">
        <x:v>Dummy opening balance</x:v>
      </x:c>
    </x:row>
    <x:row r="26">
      <x:c r="A26" s="22" t="str">
        <x:v>1034</x:v>
      </x:c>
      <x:c r="B26" s="23" t="str">
        <x:v>Accrued payroll</x:v>
      </x:c>
      <x:c r="C26" s="23" t="str">
        <x:v>Libailities</x:v>
      </x:c>
      <x:c r="D26" s="30" t="n">
        <x:v>0</x:v>
      </x:c>
      <x:c r="E26" s="30" t="n">
        <x:v>400000</x:v>
      </x:c>
      <x:c r="F26" s="24" t="str">
        <x:v>Dummy opening balance</x:v>
      </x:c>
    </x:row>
    <x:row r="27">
      <x:c r="A27" s="22" t="str">
        <x:v>1035</x:v>
      </x:c>
      <x:c r="B27" s="23" t="str">
        <x:v>Accrued expenses</x:v>
      </x:c>
      <x:c r="C27" s="23" t="str">
        <x:v>Libailities</x:v>
      </x:c>
      <x:c r="D27" s="30" t="n">
        <x:v>0</x:v>
      </x:c>
      <x:c r="E27" s="30" t="n">
        <x:v>250000</x:v>
      </x:c>
      <x:c r="F27" s="24" t="str">
        <x:v>Dummy opening balance</x:v>
      </x:c>
    </x:row>
    <x:row r="28">
      <x:c r="A28" s="22" t="str">
        <x:v>1036</x:v>
      </x:c>
      <x:c r="B28" s="23" t="str">
        <x:v>Withholding tax payable:Withholding tax - Vendors</x:v>
      </x:c>
      <x:c r="C28" s="23" t="str">
        <x:v>Libailities</x:v>
      </x:c>
      <x:c r="D28" s="30" t="n">
        <x:v>0</x:v>
      </x:c>
      <x:c r="E28" s="30" t="n">
        <x:v>100000</x:v>
      </x:c>
      <x:c r="F28" s="24" t="str">
        <x:v>Dummy opening balance</x:v>
      </x:c>
    </x:row>
    <x:row r="29">
      <x:c r="A29" s="22" t="str">
        <x:v>1037</x:v>
      </x:c>
      <x:c r="B29" s="23" t="str">
        <x:v>Advance against issue of shares</x:v>
      </x:c>
      <x:c r="C29" s="23" t="str">
        <x:v>Equity</x:v>
      </x:c>
      <x:c r="D29" s="30" t="n">
        <x:v>0</x:v>
      </x:c>
      <x:c r="E29" s="30" t="n">
        <x:v>0</x:v>
      </x:c>
      <x:c r="F29" s="24" t="str">
        <x:v>Dummy opening balance</x:v>
      </x:c>
    </x:row>
    <x:row r="30">
      <x:c r="A30" s="22" t="str">
        <x:v>1038</x:v>
      </x:c>
      <x:c r="B30" s="23" t="str">
        <x:v>Retained Earnings</x:v>
      </x:c>
      <x:c r="C30" s="23" t="str">
        <x:v>Equity</x:v>
      </x:c>
      <x:c r="D30" s="30" t="n">
        <x:v>0</x:v>
      </x:c>
      <x:c r="E30" s="30" t="n">
        <x:v>0</x:v>
      </x:c>
      <x:c r="F30" s="24" t="str">
        <x:v>Dummy opening balance</x:v>
      </x:c>
    </x:row>
    <x:row r="31">
      <x:c r="A31" s="22" t="str">
        <x:v>1039</x:v>
      </x:c>
      <x:c r="B31" s="23" t="str">
        <x:v>Share premium</x:v>
      </x:c>
      <x:c r="C31" s="23" t="str">
        <x:v>Equity</x:v>
      </x:c>
      <x:c r="D31" s="30" t="n">
        <x:v>0</x:v>
      </x:c>
      <x:c r="E31" s="30" t="n">
        <x:v>0</x:v>
      </x:c>
      <x:c r="F31" s="24" t="str">
        <x:v>Dummy opening balance</x:v>
      </x:c>
    </x:row>
    <x:row r="32">
      <x:c r="A32" s="22" t="str">
        <x:v>1040</x:v>
      </x:c>
      <x:c r="B32" s="23" t="str">
        <x:v>Share capital</x:v>
      </x:c>
      <x:c r="C32" s="23" t="str">
        <x:v>Equity</x:v>
      </x:c>
      <x:c r="D32" s="30" t="n">
        <x:v>0</x:v>
      </x:c>
      <x:c r="E32" s="30" t="n">
        <x:v>4775000</x:v>
      </x:c>
      <x:c r="F32" s="24" t="str">
        <x:v>Dummy opening balance</x:v>
      </x:c>
    </x:row>
    <x:row r="33">
      <x:c r="A33" s="22" t="str">
        <x:v>1041</x:v>
      </x:c>
      <x:c r="B33" s="23" t="str">
        <x:v>ABHI</x:v>
      </x:c>
      <x:c r="C33" s="23" t="str">
        <x:v>Libailities</x:v>
      </x:c>
      <x:c r="D33" s="30" t="n">
        <x:v>0</x:v>
      </x:c>
      <x:c r="E33" s="30" t="n">
        <x:v>700000</x:v>
      </x:c>
      <x:c r="F33" s="24" t="str">
        <x:v>Dummy opening balance</x:v>
      </x:c>
    </x:row>
    <x:row r="34">
      <x:c r="A34" s="22" t="str">
        <x:v>1042</x:v>
      </x:c>
      <x:c r="B34" s="23" t="str">
        <x:v>Audit Fee Payable</x:v>
      </x:c>
      <x:c r="C34" s="23" t="str">
        <x:v>Libailities</x:v>
      </x:c>
      <x:c r="D34" s="30" t="n">
        <x:v>0</x:v>
      </x:c>
      <x:c r="E34" s="30" t="n">
        <x:v>100000</x:v>
      </x:c>
      <x:c r="F34" s="24" t="str">
        <x:v>Dummy opening balance</x:v>
      </x:c>
    </x:row>
    <x:row r="35">
      <x:c r="A35" s="22" t="str">
        <x:v>1043</x:v>
      </x:c>
      <x:c r="B35" s="23" t="str">
        <x:v>Prepaid Leasehold</x:v>
      </x:c>
      <x:c r="C35" s="23" t="str">
        <x:v>Assets</x:v>
      </x:c>
      <x:c r="D35" s="30" t="n">
        <x:v>0</x:v>
      </x:c>
      <x:c r="E35" s="30" t="n">
        <x:v>0</x:v>
      </x:c>
      <x:c r="F35" s="24" t="str">
        <x:v>Dummy opening balance</x:v>
      </x:c>
    </x:row>
    <x:row r="36">
      <x:c r="A36" s="22" t="str">
        <x:v>1044</x:v>
      </x:c>
      <x:c r="B36" s="23" t="str">
        <x:v>Advance tax</x:v>
      </x:c>
      <x:c r="C36" s="23" t="str">
        <x:v>Assets</x:v>
      </x:c>
      <x:c r="D36" s="30" t="n">
        <x:v>150000</x:v>
      </x:c>
      <x:c r="E36" s="30" t="n">
        <x:v>0</x:v>
      </x:c>
      <x:c r="F36" s="24" t="str">
        <x:v>Dummy opening balance</x:v>
      </x:c>
    </x:row>
    <x:row r="37">
      <x:c r="A37" s="22" t="str">
        <x:v>1045</x:v>
      </x:c>
      <x:c r="B37" s="23" t="str">
        <x:v>WHT on Bank Profit</x:v>
      </x:c>
      <x:c r="C37" s="23" t="str">
        <x:v>Assets</x:v>
      </x:c>
      <x:c r="D37" s="30" t="n">
        <x:v>25000</x:v>
      </x:c>
      <x:c r="E37" s="30" t="n">
        <x:v>0</x:v>
      </x:c>
      <x:c r="F37" s="24" t="str">
        <x:v>Dummy opening balance</x:v>
      </x:c>
    </x:row>
    <x:row r="38">
      <x:c r="A38" s="22" t="str">
        <x:v>1046</x:v>
      </x:c>
      <x:c r="B38" s="23" t="str">
        <x:v>Withholding tax :Withholding tax - Utilities</x:v>
      </x:c>
      <x:c r="C38" s="23" t="str">
        <x:v>Assets</x:v>
      </x:c>
      <x:c r="D38" s="30" t="n">
        <x:v>0</x:v>
      </x:c>
      <x:c r="E38" s="30" t="n">
        <x:v>0</x:v>
      </x:c>
      <x:c r="F38" s="24" t="str">
        <x:v>Dummy opening balance</x:v>
      </x:c>
    </x:row>
    <x:row r="39">
      <x:c r="A39" s="22" t="str">
        <x:v>1047</x:v>
      </x:c>
      <x:c r="B39" s="23" t="str">
        <x:v>Provision for Taxation</x:v>
      </x:c>
      <x:c r="C39" s="23" t="str">
        <x:v>Assets</x:v>
      </x:c>
      <x:c r="D39" s="30" t="n">
        <x:v>0</x:v>
      </x:c>
      <x:c r="E39" s="30" t="n">
        <x:v>250000</x:v>
      </x:c>
      <x:c r="F39" s="24" t="str">
        <x:v>Dummy opening balance</x:v>
      </x:c>
    </x:row>
    <x:row r="40">
      <x:c r="A40" s="22" t="str">
        <x:v>1048</x:v>
      </x:c>
      <x:c r="B40" s="23" t="str">
        <x:v>Taxation ( Current Year)</x:v>
      </x:c>
      <x:c r="C40" s="23" t="str">
        <x:v>Expenses</x:v>
      </x:c>
      <x:c r="D40" s="30" t="n">
        <x:v>0</x:v>
      </x:c>
      <x:c r="E40" s="30" t="n">
        <x:v>0</x:v>
      </x:c>
      <x:c r="F40" s="24" t="str">
        <x:v>Dummy opening balance</x:v>
      </x:c>
    </x:row>
    <x:row r="41">
      <x:c r="A41" s="22" t="str">
        <x:v>1049</x:v>
      </x:c>
      <x:c r="B41" s="23" t="str">
        <x:v>Fleet Subsidy</x:v>
      </x:c>
      <x:c r="C41" s="23" t="str">
        <x:v>Expenses</x:v>
      </x:c>
      <x:c r="D41" s="30" t="n">
        <x:v>0</x:v>
      </x:c>
      <x:c r="E41" s="30" t="n">
        <x:v>0</x:v>
      </x:c>
      <x:c r="F41" s="24" t="str">
        <x:v>Dummy opening balance</x:v>
      </x:c>
    </x:row>
    <x:row r="42">
      <x:c r="A42" s="22" t="str">
        <x:v>1050</x:v>
      </x:c>
      <x:c r="B42" s="23" t="str">
        <x:v>Sales revenue</x:v>
      </x:c>
      <x:c r="C42" s="23" t="str">
        <x:v>Revenue</x:v>
      </x:c>
      <x:c r="D42" s="30" t="n">
        <x:v>0</x:v>
      </x:c>
      <x:c r="E42" s="30" t="n">
        <x:v>0</x:v>
      </x:c>
      <x:c r="F42" s="24" t="str">
        <x:v>Dummy opening balance</x:v>
      </x:c>
    </x:row>
    <x:row r="43">
      <x:c r="A43" s="22" t="str">
        <x:v>1051</x:v>
      </x:c>
      <x:c r="B43" s="23" t="str">
        <x:v>Allowance for doubtful debts</x:v>
      </x:c>
      <x:c r="C43" s="23" t="str">
        <x:v>Expenses</x:v>
      </x:c>
      <x:c r="D43" s="30" t="n">
        <x:v>0</x:v>
      </x:c>
      <x:c r="E43" s="30" t="n">
        <x:v>0</x:v>
      </x:c>
      <x:c r="F43" s="24" t="str">
        <x:v>Dummy opening balance</x:v>
      </x:c>
    </x:row>
    <x:row r="44">
      <x:c r="A44" s="22" t="str">
        <x:v>1052</x:v>
      </x:c>
      <x:c r="B44" s="23" t="str">
        <x:v>Allowance for doubtful debts</x:v>
      </x:c>
      <x:c r="C44" s="23" t="str">
        <x:v>Expenses</x:v>
      </x:c>
      <x:c r="D44" s="30" t="n">
        <x:v>0</x:v>
      </x:c>
      <x:c r="E44" s="30" t="n">
        <x:v>0</x:v>
      </x:c>
      <x:c r="F44" s="24" t="str">
        <x:v>Dummy opening balance</x:v>
      </x:c>
    </x:row>
    <x:row r="45">
      <x:c r="A45" s="22" t="str">
        <x:v>1053</x:v>
      </x:c>
      <x:c r="B45" s="23" t="str">
        <x:v>Allowance for advance for laptops</x:v>
      </x:c>
      <x:c r="C45" s="23" t="str">
        <x:v>Expenses</x:v>
      </x:c>
      <x:c r="D45" s="30" t="n">
        <x:v>0</x:v>
      </x:c>
      <x:c r="E45" s="30" t="n">
        <x:v>0</x:v>
      </x:c>
      <x:c r="F45" s="24" t="str">
        <x:v>Dummy opening balance</x:v>
      </x:c>
    </x:row>
    <x:row r="46">
      <x:c r="A46" s="22" t="str">
        <x:v>1054</x:v>
      </x:c>
      <x:c r="B46" s="23" t="str">
        <x:v>Trucker's Commission</x:v>
      </x:c>
      <x:c r="C46" s="23" t="str">
        <x:v>Revenue</x:v>
      </x:c>
      <x:c r="D46" s="30" t="n">
        <x:v>0</x:v>
      </x:c>
      <x:c r="E46" s="30" t="n">
        <x:v>0</x:v>
      </x:c>
      <x:c r="F46" s="24" t="str">
        <x:v>Dummy opening balance</x:v>
      </x:c>
    </x:row>
    <x:row r="47">
      <x:c r="A47" s="22" t="str">
        <x:v>1055</x:v>
      </x:c>
      <x:c r="B47" s="23" t="str">
        <x:v>Trucker's Cost - Fuel</x:v>
      </x:c>
      <x:c r="C47" s="23" t="str">
        <x:v>Revenue</x:v>
      </x:c>
      <x:c r="D47" s="30" t="n">
        <x:v>0</x:v>
      </x:c>
      <x:c r="E47" s="30" t="n">
        <x:v>0</x:v>
      </x:c>
      <x:c r="F47" s="24" t="str">
        <x:v>Dummy opening balance</x:v>
      </x:c>
    </x:row>
    <x:row r="48">
      <x:c r="A48" s="22" t="str">
        <x:v>1056</x:v>
      </x:c>
      <x:c r="B48" s="23" t="str">
        <x:v>SALARIES &amp; WAGES</x:v>
      </x:c>
      <x:c r="C48" s="23" t="str">
        <x:v>Expenses</x:v>
      </x:c>
      <x:c r="D48" s="30" t="n">
        <x:v>0</x:v>
      </x:c>
      <x:c r="E48" s="30" t="n">
        <x:v>0</x:v>
      </x:c>
      <x:c r="F48" s="24" t="str">
        <x:v>Dummy opening balance</x:v>
      </x:c>
    </x:row>
    <x:row r="49">
      <x:c r="A49" s="22" t="str">
        <x:v>1057</x:v>
      </x:c>
      <x:c r="B49" s="23" t="str">
        <x:v>Bank Charges</x:v>
      </x:c>
      <x:c r="C49" s="23" t="str">
        <x:v>Expenses</x:v>
      </x:c>
      <x:c r="D49" s="30" t="n">
        <x:v>0</x:v>
      </x:c>
      <x:c r="E49" s="30" t="n">
        <x:v>0</x:v>
      </x:c>
      <x:c r="F49" s="24" t="str">
        <x:v>Dummy opening balance</x:v>
      </x:c>
    </x:row>
    <x:row r="50">
      <x:c r="A50" s="22" t="str">
        <x:v>1058</x:v>
      </x:c>
      <x:c r="B50" s="23" t="str">
        <x:v>Rent and utilities</x:v>
      </x:c>
      <x:c r="C50" s="23" t="str">
        <x:v>Expenses</x:v>
      </x:c>
      <x:c r="D50" s="30" t="n">
        <x:v>0</x:v>
      </x:c>
      <x:c r="E50" s="30" t="n">
        <x:v>0</x:v>
      </x:c>
      <x:c r="F50" s="24" t="str">
        <x:v>Dummy opening balance</x:v>
      </x:c>
    </x:row>
    <x:row r="51">
      <x:c r="A51" s="22" t="str">
        <x:v>1059</x:v>
      </x:c>
      <x:c r="B51" s="23" t="str">
        <x:v>Travel and entertainment</x:v>
      </x:c>
      <x:c r="C51" s="23" t="str">
        <x:v>Expenses</x:v>
      </x:c>
      <x:c r="D51" s="30" t="n">
        <x:v>0</x:v>
      </x:c>
      <x:c r="E51" s="30" t="n">
        <x:v>0</x:v>
      </x:c>
      <x:c r="F51" s="24" t="str">
        <x:v>Dummy opening balance</x:v>
      </x:c>
    </x:row>
    <x:row r="52">
      <x:c r="A52" s="22" t="str">
        <x:v>1060</x:v>
      </x:c>
      <x:c r="B52" s="23" t="str">
        <x:v>LEGAL &amp; PROFESSIONAL FEE</x:v>
      </x:c>
      <x:c r="C52" s="23" t="str">
        <x:v>Expenses</x:v>
      </x:c>
      <x:c r="D52" s="30" t="n">
        <x:v>0</x:v>
      </x:c>
      <x:c r="E52" s="30" t="n">
        <x:v>0</x:v>
      </x:c>
      <x:c r="F52" s="24" t="str">
        <x:v>Dummy opening balance</x:v>
      </x:c>
    </x:row>
    <x:row r="53">
      <x:c r="A53" s="22" t="str">
        <x:v>1061</x:v>
      </x:c>
      <x:c r="B53" s="23" t="str">
        <x:v>Offline marketing and channel</x:v>
      </x:c>
      <x:c r="C53" s="23" t="str">
        <x:v>Expenses</x:v>
      </x:c>
      <x:c r="D53" s="30" t="n">
        <x:v>0</x:v>
      </x:c>
      <x:c r="E53" s="30" t="n">
        <x:v>0</x:v>
      </x:c>
      <x:c r="F53" s="24" t="str">
        <x:v>Dummy opening balance</x:v>
      </x:c>
    </x:row>
    <x:row r="54">
      <x:c r="A54" s="22" t="str">
        <x:v>1062</x:v>
      </x:c>
      <x:c r="B54" s="23" t="str">
        <x:v>Call center</x:v>
      </x:c>
      <x:c r="C54" s="23" t="str">
        <x:v>Expenses</x:v>
      </x:c>
      <x:c r="D54" s="30" t="n">
        <x:v>0</x:v>
      </x:c>
      <x:c r="E54" s="30" t="n">
        <x:v>0</x:v>
      </x:c>
      <x:c r="F54" s="24" t="str">
        <x:v>Dummy opening balance</x:v>
      </x:c>
    </x:row>
    <x:row r="55">
      <x:c r="A55" s="22" t="str">
        <x:v>1063</x:v>
      </x:c>
      <x:c r="B55" s="23" t="str">
        <x:v>Auditors remuneration</x:v>
      </x:c>
      <x:c r="C55" s="23" t="str">
        <x:v>Expenses</x:v>
      </x:c>
      <x:c r="D55" s="30" t="n">
        <x:v>0</x:v>
      </x:c>
      <x:c r="E55" s="30" t="n">
        <x:v>0</x:v>
      </x:c>
      <x:c r="F55" s="24" t="str">
        <x:v>Dummy opening balance</x:v>
      </x:c>
    </x:row>
    <x:row r="56">
      <x:c r="A56" s="22" t="str">
        <x:v>1064</x:v>
      </x:c>
      <x:c r="B56" s="23" t="str">
        <x:v>Depreciation</x:v>
      </x:c>
      <x:c r="C56" s="23" t="str">
        <x:v>Expenses</x:v>
      </x:c>
      <x:c r="D56" s="30" t="n">
        <x:v>0</x:v>
      </x:c>
      <x:c r="E56" s="30" t="n">
        <x:v>0</x:v>
      </x:c>
      <x:c r="F56" s="24" t="str">
        <x:v>Dummy opening balance</x:v>
      </x:c>
    </x:row>
    <x:row r="57">
      <x:c r="A57" s="22" t="str">
        <x:v>1065</x:v>
      </x:c>
      <x:c r="B57" s="23" t="str">
        <x:v>Other Income</x:v>
      </x:c>
      <x:c r="C57" s="23" t="str">
        <x:v>Income</x:v>
      </x:c>
      <x:c r="D57" s="30" t="n">
        <x:v>0</x:v>
      </x:c>
      <x:c r="E57" s="30" t="n">
        <x:v>0</x:v>
      </x:c>
      <x:c r="F57" s="24" t="str">
        <x:v>Dummy opening balance</x:v>
      </x:c>
    </x:row>
    <x:row r="58">
      <x:c r="A58" s="22" t="str">
        <x:v>1066</x:v>
      </x:c>
      <x:c r="B58" s="23" t="str">
        <x:v>Profit on PLS</x:v>
      </x:c>
      <x:c r="C58" s="23" t="str">
        <x:v>Income</x:v>
      </x:c>
      <x:c r="D58" s="30" t="n">
        <x:v>0</x:v>
      </x:c>
      <x:c r="E58" s="30" t="n">
        <x:v>0</x:v>
      </x:c>
      <x:c r="F58" s="24" t="str">
        <x:v>Dummy opening balance</x:v>
      </x:c>
    </x:row>
    <x:row r="59">
      <x:c r="A59" s="22" t="str">
        <x:v>1067</x:v>
      </x:c>
      <x:c r="B59" s="23" t="str">
        <x:v>Amortization</x:v>
      </x:c>
      <x:c r="C59" s="23" t="str">
        <x:v>Expenses</x:v>
      </x:c>
      <x:c r="D59" s="30" t="n">
        <x:v>0</x:v>
      </x:c>
      <x:c r="E59" s="30" t="n">
        <x:v>0</x:v>
      </x:c>
      <x:c r="F59" s="24" t="str">
        <x:v>Dummy opening balance</x:v>
      </x:c>
    </x:row>
    <x:row r="60">
      <x:c r="A60" s="22" t="str">
        <x:v>1068</x:v>
      </x:c>
      <x:c r="B60" s="23" t="str">
        <x:v>Other Expenses</x:v>
      </x:c>
      <x:c r="C60" s="23" t="str">
        <x:v>Expenses</x:v>
      </x:c>
      <x:c r="D60" s="30" t="n">
        <x:v>0</x:v>
      </x:c>
      <x:c r="E60" s="30" t="n">
        <x:v>0</x:v>
      </x:c>
      <x:c r="F60" s="24" t="str">
        <x:v>Dummy opening balance</x:v>
      </x:c>
    </x:row>
    <x:row r="61">
      <x:c r="A61" s="22" t="str">
        <x:v>1069</x:v>
      </x:c>
      <x:c r="B61" s="23" t="str">
        <x:v>Bank Charges</x:v>
      </x:c>
      <x:c r="C61" s="23" t="str">
        <x:v>Expenses</x:v>
      </x:c>
      <x:c r="D61" s="30" t="n">
        <x:v>0</x:v>
      </x:c>
      <x:c r="E61" s="30" t="n">
        <x:v>0</x:v>
      </x:c>
      <x:c r="F61" s="24" t="str">
        <x:v>Dummy opening balance</x:v>
      </x:c>
    </x:row>
    <x:row r="62">
      <x:c r="A62" s="22" t="str">
        <x:v>new code 2</x:v>
      </x:c>
      <x:c r="B62" s="23" t="str">
        <x:v>Loss on disposal</x:v>
      </x:c>
      <x:c r="C62" s="23" t="str">
        <x:v>Expenses</x:v>
      </x:c>
      <x:c r="D62" s="30" t="n">
        <x:v>0</x:v>
      </x:c>
      <x:c r="E62" s="30" t="n">
        <x:v>0</x:v>
      </x:c>
      <x:c r="F62" s="24" t="str">
        <x:v>Dummy opening balance</x:v>
      </x:c>
    </x:row>
    <x:row r="63">
      <x:c r="A63" s="22" t="str">
        <x:v>New code 1</x:v>
      </x:c>
      <x:c r="B63" s="23" t="str">
        <x:v>A Rec written off</x:v>
      </x:c>
      <x:c r="C63" s="23" t="str">
        <x:v>Assets</x:v>
      </x:c>
      <x:c r="D63" s="30" t="n">
        <x:v>0</x:v>
      </x:c>
      <x:c r="E63" s="30" t="n">
        <x:v>0</x:v>
      </x:c>
      <x:c r="F63" s="24" t="str">
        <x:v>Dummy opening balance</x:v>
      </x:c>
    </x:row>
    <x:row r="64">
      <x:c r="A64" s="25" t="str">
        <x:v>New code 3</x:v>
      </x:c>
      <x:c r="B64" s="26" t="str">
        <x:v>Final tax levy</x:v>
      </x:c>
      <x:c r="C64" s="26" t="str">
        <x:v>Expenses</x:v>
      </x:c>
      <x:c r="D64" s="31" t="n">
        <x:v>0</x:v>
      </x:c>
      <x:c r="E64" s="31" t="n">
        <x:v>0</x:v>
      </x:c>
      <x:c r="F64" s="27" t="str">
        <x:v>Dummy opening balance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2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6" customHeight="1">
      <x:c r="A1" s="3" t="str">
        <x:v>Trial Balance — 31 July 2025</x:v>
      </x:c>
    </x:row>
    <x:row r="2">
      <x:c r="A2" s="19" t="str">
        <x:v>GL Code</x:v>
      </x:c>
      <x:c r="B2" s="20" t="str">
        <x:v>GL Account</x:v>
      </x:c>
      <x:c r="C2" s="20" t="str">
        <x:v>Nature</x:v>
      </x:c>
      <x:c r="D2" s="20" t="str">
        <x:v>Source Classification</x:v>
      </x:c>
      <x:c r="E2" s="20" t="str">
        <x:v>Opening Debit</x:v>
      </x:c>
      <x:c r="F2" s="20" t="str">
        <x:v>Opening Credit</x:v>
      </x:c>
      <x:c r="G2" s="20" t="str">
        <x:v>Period Debit</x:v>
      </x:c>
      <x:c r="H2" s="20" t="str">
        <x:v>Period Credit</x:v>
      </x:c>
      <x:c r="I2" s="20" t="str">
        <x:v>Closing Debit</x:v>
      </x:c>
      <x:c r="J2" s="21" t="str">
        <x:v>Closing Credit</x:v>
      </x:c>
    </x:row>
    <x:row r="3">
      <x:c r="A3" s="22" t="str">
        <x:v>1011</x:v>
      </x:c>
      <x:c r="B3" s="23" t="str">
        <x:v>Furniture and fixture</x:v>
      </x:c>
      <x:c r="C3" s="23" t="str">
        <x:v>B/S</x:v>
      </x:c>
      <x:c r="D3" s="23" t="str">
        <x:v>Assets</x:v>
      </x:c>
      <x:c r="E3" s="30" t="n">
        <x:f>IFERROR(SUMIF('Opening Balances'!$A$3:$A$64,A3,'Opening Balances'!$D$3:$D$64),0)</x:f>
        <x:v>100000</x:v>
      </x:c>
      <x:c r="F3" s="30" t="n">
        <x:f>IFERROR(SUMIF('Opening Balances'!$A$3:$A$64,A3,'Opening Balances'!$E$3:$E$64),0)</x:f>
        <x:v>0</x:v>
      </x:c>
      <x:c r="G3" s="30" t="n">
        <x:f>IFERROR(SUMIF('Journal Entries'!$F$3:$F$84,A3,'Journal Entries'!$H$3:$H$84),0)</x:f>
        <x:v>0</x:v>
      </x:c>
      <x:c r="H3" s="30" t="n">
        <x:f>IFERROR(SUMIF('Journal Entries'!$F$3:$F$84,A3,'Journal Entries'!$I$3:$I$84),0)</x:f>
        <x:v>0</x:v>
      </x:c>
      <x:c r="I3" s="30" t="n">
        <x:f>MAX(E3+G3-F3-H3,0)</x:f>
        <x:v>100000</x:v>
      </x:c>
      <x:c r="J3" s="51" t="n">
        <x:f>MAX(F3+H3-E3-G3,0)</x:f>
        <x:v>0</x:v>
      </x:c>
    </x:row>
    <x:row r="4">
      <x:c r="A4" s="22" t="str">
        <x:v>1012</x:v>
      </x:c>
      <x:c r="B4" s="23" t="str">
        <x:v>Leasehold building</x:v>
      </x:c>
      <x:c r="C4" s="23" t="str">
        <x:v>B/S</x:v>
      </x:c>
      <x:c r="D4" s="23" t="str">
        <x:v>Assets</x:v>
      </x:c>
      <x:c r="E4" s="30" t="n">
        <x:f>IFERROR(SUMIF('Opening Balances'!$A$3:$A$64,A4,'Opening Balances'!$D$3:$D$64),0)</x:f>
        <x:v>0</x:v>
      </x:c>
      <x:c r="F4" s="30" t="n">
        <x:f>IFERROR(SUMIF('Opening Balances'!$A$3:$A$64,A4,'Opening Balances'!$E$3:$E$64),0)</x:f>
        <x:v>0</x:v>
      </x:c>
      <x:c r="G4" s="30" t="n">
        <x:f>IFERROR(SUMIF('Journal Entries'!$F$3:$F$84,A4,'Journal Entries'!$H$3:$H$84),0)</x:f>
        <x:v>0</x:v>
      </x:c>
      <x:c r="H4" s="30" t="n">
        <x:f>IFERROR(SUMIF('Journal Entries'!$F$3:$F$84,A4,'Journal Entries'!$I$3:$I$84),0)</x:f>
        <x:v>0</x:v>
      </x:c>
      <x:c r="I4" s="30" t="n">
        <x:f>MAX(E4+G4-F4-H4,0)</x:f>
        <x:v>0</x:v>
      </x:c>
      <x:c r="J4" s="51" t="n">
        <x:f>MAX(F4+H4-E4-G4,0)</x:f>
        <x:v>0</x:v>
      </x:c>
    </x:row>
    <x:row r="5">
      <x:c r="A5" s="22" t="str">
        <x:v>1013</x:v>
      </x:c>
      <x:c r="B5" s="23" t="str">
        <x:v>Computers</x:v>
      </x:c>
      <x:c r="C5" s="23" t="str">
        <x:v>B/S</x:v>
      </x:c>
      <x:c r="D5" s="23" t="str">
        <x:v>Assets</x:v>
      </x:c>
      <x:c r="E5" s="30" t="n">
        <x:f>IFERROR(SUMIF('Opening Balances'!$A$3:$A$64,A5,'Opening Balances'!$D$3:$D$64),0)</x:f>
        <x:v>150000</x:v>
      </x:c>
      <x:c r="F5" s="30" t="n">
        <x:f>IFERROR(SUMIF('Opening Balances'!$A$3:$A$64,A5,'Opening Balances'!$E$3:$E$64),0)</x:f>
        <x:v>0</x:v>
      </x:c>
      <x:c r="G5" s="30" t="n">
        <x:f>IFERROR(SUMIF('Journal Entries'!$F$3:$F$84,A5,'Journal Entries'!$H$3:$H$84),0)</x:f>
        <x:v>0</x:v>
      </x:c>
      <x:c r="H5" s="30" t="n">
        <x:f>IFERROR(SUMIF('Journal Entries'!$F$3:$F$84,A5,'Journal Entries'!$I$3:$I$84),0)</x:f>
        <x:v>0</x:v>
      </x:c>
      <x:c r="I5" s="30" t="n">
        <x:f>MAX(E5+G5-F5-H5,0)</x:f>
        <x:v>150000</x:v>
      </x:c>
      <x:c r="J5" s="51" t="n">
        <x:f>MAX(F5+H5-E5-G5,0)</x:f>
        <x:v>0</x:v>
      </x:c>
    </x:row>
    <x:row r="6">
      <x:c r="A6" s="22" t="str">
        <x:v>1014</x:v>
      </x:c>
      <x:c r="B6" s="23" t="str">
        <x:v>Office Equipments</x:v>
      </x:c>
      <x:c r="C6" s="23" t="str">
        <x:v>B/S</x:v>
      </x:c>
      <x:c r="D6" s="23" t="str">
        <x:v>Assets</x:v>
      </x:c>
      <x:c r="E6" s="30" t="n">
        <x:f>IFERROR(SUMIF('Opening Balances'!$A$3:$A$64,A6,'Opening Balances'!$D$3:$D$64),0)</x:f>
        <x:v>50000</x:v>
      </x:c>
      <x:c r="F6" s="30" t="n">
        <x:f>IFERROR(SUMIF('Opening Balances'!$A$3:$A$64,A6,'Opening Balances'!$E$3:$E$64),0)</x:f>
        <x:v>0</x:v>
      </x:c>
      <x:c r="G6" s="30" t="n">
        <x:f>IFERROR(SUMIF('Journal Entries'!$F$3:$F$84,A6,'Journal Entries'!$H$3:$H$84),0)</x:f>
        <x:v>0</x:v>
      </x:c>
      <x:c r="H6" s="30" t="n">
        <x:f>IFERROR(SUMIF('Journal Entries'!$F$3:$F$84,A6,'Journal Entries'!$I$3:$I$84),0)</x:f>
        <x:v>0</x:v>
      </x:c>
      <x:c r="I6" s="30" t="n">
        <x:f>MAX(E6+G6-F6-H6,0)</x:f>
        <x:v>50000</x:v>
      </x:c>
      <x:c r="J6" s="51" t="n">
        <x:f>MAX(F6+H6-E6-G6,0)</x:f>
        <x:v>0</x:v>
      </x:c>
    </x:row>
    <x:row r="7">
      <x:c r="A7" s="22" t="str">
        <x:v>1015</x:v>
      </x:c>
      <x:c r="B7" s="23" t="str">
        <x:v>Vehicles</x:v>
      </x:c>
      <x:c r="C7" s="23" t="str">
        <x:v>B/S</x:v>
      </x:c>
      <x:c r="D7" s="23" t="str">
        <x:v>Assets</x:v>
      </x:c>
      <x:c r="E7" s="30" t="n">
        <x:f>IFERROR(SUMIF('Opening Balances'!$A$3:$A$64,A7,'Opening Balances'!$D$3:$D$64),0)</x:f>
        <x:v>600000</x:v>
      </x:c>
      <x:c r="F7" s="30" t="n">
        <x:f>IFERROR(SUMIF('Opening Balances'!$A$3:$A$64,A7,'Opening Balances'!$E$3:$E$64),0)</x:f>
        <x:v>0</x:v>
      </x:c>
      <x:c r="G7" s="30" t="n">
        <x:f>IFERROR(SUMIF('Journal Entries'!$F$3:$F$84,A7,'Journal Entries'!$H$3:$H$84),0)</x:f>
        <x:v>0</x:v>
      </x:c>
      <x:c r="H7" s="30" t="n">
        <x:f>IFERROR(SUMIF('Journal Entries'!$F$3:$F$84,A7,'Journal Entries'!$I$3:$I$84),0)</x:f>
        <x:v>0</x:v>
      </x:c>
      <x:c r="I7" s="30" t="n">
        <x:f>MAX(E7+G7-F7-H7,0)</x:f>
        <x:v>600000</x:v>
      </x:c>
      <x:c r="J7" s="51" t="n">
        <x:f>MAX(F7+H7-E7-G7,0)</x:f>
        <x:v>0</x:v>
      </x:c>
    </x:row>
    <x:row r="8">
      <x:c r="A8" s="22" t="str">
        <x:v>1016</x:v>
      </x:c>
      <x:c r="B8" s="23" t="str">
        <x:v>Intangible Assets</x:v>
      </x:c>
      <x:c r="C8" s="23" t="str">
        <x:v>B/S</x:v>
      </x:c>
      <x:c r="D8" s="23" t="str">
        <x:v>Assets</x:v>
      </x:c>
      <x:c r="E8" s="30" t="n">
        <x:f>IFERROR(SUMIF('Opening Balances'!$A$3:$A$64,A8,'Opening Balances'!$D$3:$D$64),0)</x:f>
        <x:v>50000</x:v>
      </x:c>
      <x:c r="F8" s="30" t="n">
        <x:f>IFERROR(SUMIF('Opening Balances'!$A$3:$A$64,A8,'Opening Balances'!$E$3:$E$64),0)</x:f>
        <x:v>0</x:v>
      </x:c>
      <x:c r="G8" s="30" t="n">
        <x:f>IFERROR(SUMIF('Journal Entries'!$F$3:$F$84,A8,'Journal Entries'!$H$3:$H$84),0)</x:f>
        <x:v>0</x:v>
      </x:c>
      <x:c r="H8" s="30" t="n">
        <x:f>IFERROR(SUMIF('Journal Entries'!$F$3:$F$84,A8,'Journal Entries'!$I$3:$I$84),0)</x:f>
        <x:v>0</x:v>
      </x:c>
      <x:c r="I8" s="30" t="n">
        <x:f>MAX(E8+G8-F8-H8,0)</x:f>
        <x:v>50000</x:v>
      </x:c>
      <x:c r="J8" s="51" t="n">
        <x:f>MAX(F8+H8-E8-G8,0)</x:f>
        <x:v>0</x:v>
      </x:c>
    </x:row>
    <x:row r="9">
      <x:c r="A9" s="22" t="str">
        <x:v>1017</x:v>
      </x:c>
      <x:c r="B9" s="23" t="str">
        <x:v>Accumulated depreciation</x:v>
      </x:c>
      <x:c r="C9" s="23" t="str">
        <x:v>B/S</x:v>
      </x:c>
      <x:c r="D9" s="23" t="str">
        <x:v>Assets</x:v>
      </x:c>
      <x:c r="E9" s="30" t="n">
        <x:f>IFERROR(SUMIF('Opening Balances'!$A$3:$A$64,A9,'Opening Balances'!$D$3:$D$64),0)</x:f>
        <x:v>0</x:v>
      </x:c>
      <x:c r="F9" s="30" t="n">
        <x:f>IFERROR(SUMIF('Opening Balances'!$A$3:$A$64,A9,'Opening Balances'!$E$3:$E$64),0)</x:f>
        <x:v>100000</x:v>
      </x:c>
      <x:c r="G9" s="30" t="n">
        <x:f>IFERROR(SUMIF('Journal Entries'!$F$3:$F$84,A9,'Journal Entries'!$H$3:$H$84),0)</x:f>
        <x:v>0</x:v>
      </x:c>
      <x:c r="H9" s="30" t="n">
        <x:f>IFERROR(SUMIF('Journal Entries'!$F$3:$F$84,A9,'Journal Entries'!$I$3:$I$84),0)</x:f>
        <x:v>50000</x:v>
      </x:c>
      <x:c r="I9" s="30" t="n">
        <x:f>MAX(E9+G9-F9-H9,0)</x:f>
        <x:v>0</x:v>
      </x:c>
      <x:c r="J9" s="51" t="n">
        <x:f>MAX(F9+H9-E9-G9,0)</x:f>
        <x:v>150000</x:v>
      </x:c>
    </x:row>
    <x:row r="10">
      <x:c r="A10" s="22" t="str">
        <x:v>1018</x:v>
      </x:c>
      <x:c r="B10" s="23" t="str">
        <x:v>Trade Debtors</x:v>
      </x:c>
      <x:c r="C10" s="23" t="str">
        <x:v>B/S</x:v>
      </x:c>
      <x:c r="D10" s="23" t="str">
        <x:v>Assets</x:v>
      </x:c>
      <x:c r="E10" s="30" t="n">
        <x:f>IFERROR(SUMIF('Opening Balances'!$A$3:$A$64,A10,'Opening Balances'!$D$3:$D$64),0)</x:f>
        <x:v>2000000</x:v>
      </x:c>
      <x:c r="F10" s="30" t="n">
        <x:f>IFERROR(SUMIF('Opening Balances'!$A$3:$A$64,A10,'Opening Balances'!$E$3:$E$64),0)</x:f>
        <x:v>0</x:v>
      </x:c>
      <x:c r="G10" s="30" t="n">
        <x:f>IFERROR(SUMIF('Journal Entries'!$F$3:$F$84,A10,'Journal Entries'!$H$3:$H$84),0)</x:f>
        <x:v>0</x:v>
      </x:c>
      <x:c r="H10" s="30" t="n">
        <x:f>IFERROR(SUMIF('Journal Entries'!$F$3:$F$84,A10,'Journal Entries'!$I$3:$I$84),0)</x:f>
        <x:v>80000</x:v>
      </x:c>
      <x:c r="I10" s="30" t="n">
        <x:f>MAX(E10+G10-F10-H10,0)</x:f>
        <x:v>1920000</x:v>
      </x:c>
      <x:c r="J10" s="51" t="n">
        <x:f>MAX(F10+H10-E10-G10,0)</x:f>
        <x:v>0</x:v>
      </x:c>
    </x:row>
    <x:row r="11">
      <x:c r="A11" s="22" t="str">
        <x:v>1019</x:v>
      </x:c>
      <x:c r="B11" s="23" t="str">
        <x:v>Advance to carriers</x:v>
      </x:c>
      <x:c r="C11" s="23" t="str">
        <x:v>B/S</x:v>
      </x:c>
      <x:c r="D11" s="23" t="str">
        <x:v>Assets</x:v>
      </x:c>
      <x:c r="E11" s="30" t="n">
        <x:f>IFERROR(SUMIF('Opening Balances'!$A$3:$A$64,A11,'Opening Balances'!$D$3:$D$64),0)</x:f>
        <x:v>0</x:v>
      </x:c>
      <x:c r="F11" s="30" t="n">
        <x:f>IFERROR(SUMIF('Opening Balances'!$A$3:$A$64,A11,'Opening Balances'!$E$3:$E$64),0)</x:f>
        <x:v>0</x:v>
      </x:c>
      <x:c r="G11" s="30" t="n">
        <x:f>IFERROR(SUMIF('Journal Entries'!$F$3:$F$84,A11,'Journal Entries'!$H$3:$H$84),0)</x:f>
        <x:v>0</x:v>
      </x:c>
      <x:c r="H11" s="30" t="n">
        <x:f>IFERROR(SUMIF('Journal Entries'!$F$3:$F$84,A11,'Journal Entries'!$I$3:$I$84),0)</x:f>
        <x:v>0</x:v>
      </x:c>
      <x:c r="I11" s="30" t="n">
        <x:f>MAX(E11+G11-F11-H11,0)</x:f>
        <x:v>0</x:v>
      </x:c>
      <x:c r="J11" s="51" t="n">
        <x:f>MAX(F11+H11-E11-G11,0)</x:f>
        <x:v>0</x:v>
      </x:c>
    </x:row>
    <x:row r="12">
      <x:c r="A12" s="22" t="str">
        <x:v>1020</x:v>
      </x:c>
      <x:c r="B12" s="23" t="str">
        <x:v>Advance to BYOD</x:v>
      </x:c>
      <x:c r="C12" s="23" t="str">
        <x:v>B/S</x:v>
      </x:c>
      <x:c r="D12" s="23" t="str">
        <x:v>Assets</x:v>
      </x:c>
      <x:c r="E12" s="30" t="n">
        <x:f>IFERROR(SUMIF('Opening Balances'!$A$3:$A$64,A12,'Opening Balances'!$D$3:$D$64),0)</x:f>
        <x:v>0</x:v>
      </x:c>
      <x:c r="F12" s="30" t="n">
        <x:f>IFERROR(SUMIF('Opening Balances'!$A$3:$A$64,A12,'Opening Balances'!$E$3:$E$64),0)</x:f>
        <x:v>0</x:v>
      </x:c>
      <x:c r="G12" s="30" t="n">
        <x:f>IFERROR(SUMIF('Journal Entries'!$F$3:$F$84,A12,'Journal Entries'!$H$3:$H$84),0)</x:f>
        <x:v>0</x:v>
      </x:c>
      <x:c r="H12" s="30" t="n">
        <x:f>IFERROR(SUMIF('Journal Entries'!$F$3:$F$84,A12,'Journal Entries'!$I$3:$I$84),0)</x:f>
        <x:v>0</x:v>
      </x:c>
      <x:c r="I12" s="30" t="n">
        <x:f>MAX(E12+G12-F12-H12,0)</x:f>
        <x:v>0</x:v>
      </x:c>
      <x:c r="J12" s="51" t="n">
        <x:f>MAX(F12+H12-E12-G12,0)</x:f>
        <x:v>0</x:v>
      </x:c>
    </x:row>
    <x:row r="13">
      <x:c r="A13" s="22" t="str">
        <x:v>1021</x:v>
      </x:c>
      <x:c r="B13" s="23" t="str">
        <x:v>Security deposit-Office</x:v>
      </x:c>
      <x:c r="C13" s="23" t="str">
        <x:v>B/S</x:v>
      </x:c>
      <x:c r="D13" s="23" t="str">
        <x:v>Assets</x:v>
      </x:c>
      <x:c r="E13" s="30" t="n">
        <x:f>IFERROR(SUMIF('Opening Balances'!$A$3:$A$64,A13,'Opening Balances'!$D$3:$D$64),0)</x:f>
        <x:v>300000</x:v>
      </x:c>
      <x:c r="F13" s="30" t="n">
        <x:f>IFERROR(SUMIF('Opening Balances'!$A$3:$A$64,A13,'Opening Balances'!$E$3:$E$64),0)</x:f>
        <x:v>0</x:v>
      </x:c>
      <x:c r="G13" s="30" t="n">
        <x:f>IFERROR(SUMIF('Journal Entries'!$F$3:$F$84,A13,'Journal Entries'!$H$3:$H$84),0)</x:f>
        <x:v>120000</x:v>
      </x:c>
      <x:c r="H13" s="30" t="n">
        <x:f>IFERROR(SUMIF('Journal Entries'!$F$3:$F$84,A13,'Journal Entries'!$I$3:$I$84),0)</x:f>
        <x:v>0</x:v>
      </x:c>
      <x:c r="I13" s="30" t="n">
        <x:f>MAX(E13+G13-F13-H13,0)</x:f>
        <x:v>420000</x:v>
      </x:c>
      <x:c r="J13" s="51" t="n">
        <x:f>MAX(F13+H13-E13-G13,0)</x:f>
        <x:v>0</x:v>
      </x:c>
    </x:row>
    <x:row r="14">
      <x:c r="A14" s="22" t="str">
        <x:v>1022</x:v>
      </x:c>
      <x:c r="B14" s="23" t="str">
        <x:v>Security Deposits - Customer</x:v>
      </x:c>
      <x:c r="C14" s="23" t="str">
        <x:v>B/S</x:v>
      </x:c>
      <x:c r="D14" s="23" t="str">
        <x:v>Assets</x:v>
      </x:c>
      <x:c r="E14" s="30" t="n">
        <x:f>IFERROR(SUMIF('Opening Balances'!$A$3:$A$64,A14,'Opening Balances'!$D$3:$D$64),0)</x:f>
        <x:v>0</x:v>
      </x:c>
      <x:c r="F14" s="30" t="n">
        <x:f>IFERROR(SUMIF('Opening Balances'!$A$3:$A$64,A14,'Opening Balances'!$E$3:$E$64),0)</x:f>
        <x:v>0</x:v>
      </x:c>
      <x:c r="G14" s="30" t="n">
        <x:f>IFERROR(SUMIF('Journal Entries'!$F$3:$F$84,A14,'Journal Entries'!$H$3:$H$84),0)</x:f>
        <x:v>0</x:v>
      </x:c>
      <x:c r="H14" s="30" t="n">
        <x:f>IFERROR(SUMIF('Journal Entries'!$F$3:$F$84,A14,'Journal Entries'!$I$3:$I$84),0)</x:f>
        <x:v>0</x:v>
      </x:c>
      <x:c r="I14" s="30" t="n">
        <x:f>MAX(E14+G14-F14-H14,0)</x:f>
        <x:v>0</x:v>
      </x:c>
      <x:c r="J14" s="51" t="n">
        <x:f>MAX(F14+H14-E14-G14,0)</x:f>
        <x:v>0</x:v>
      </x:c>
    </x:row>
    <x:row r="15">
      <x:c r="A15" s="22" t="str">
        <x:v>1023</x:v>
      </x:c>
      <x:c r="B15" s="23" t="str">
        <x:v>Security deposit - carriers</x:v>
      </x:c>
      <x:c r="C15" s="23" t="str">
        <x:v>B/S</x:v>
      </x:c>
      <x:c r="D15" s="23" t="str">
        <x:v>Assets</x:v>
      </x:c>
      <x:c r="E15" s="30" t="n">
        <x:f>IFERROR(SUMIF('Opening Balances'!$A$3:$A$64,A15,'Opening Balances'!$D$3:$D$64),0)</x:f>
        <x:v>0</x:v>
      </x:c>
      <x:c r="F15" s="30" t="n">
        <x:f>IFERROR(SUMIF('Opening Balances'!$A$3:$A$64,A15,'Opening Balances'!$E$3:$E$64),0)</x:f>
        <x:v>0</x:v>
      </x:c>
      <x:c r="G15" s="30" t="n">
        <x:f>IFERROR(SUMIF('Journal Entries'!$F$3:$F$84,A15,'Journal Entries'!$H$3:$H$84),0)</x:f>
        <x:v>0</x:v>
      </x:c>
      <x:c r="H15" s="30" t="n">
        <x:f>IFERROR(SUMIF('Journal Entries'!$F$3:$F$84,A15,'Journal Entries'!$I$3:$I$84),0)</x:f>
        <x:v>0</x:v>
      </x:c>
      <x:c r="I15" s="30" t="n">
        <x:f>MAX(E15+G15-F15-H15,0)</x:f>
        <x:v>0</x:v>
      </x:c>
      <x:c r="J15" s="51" t="n">
        <x:f>MAX(F15+H15-E15-G15,0)</x:f>
        <x:v>0</x:v>
      </x:c>
    </x:row>
    <x:row r="16">
      <x:c r="A16" s="22" t="str">
        <x:v>1024</x:v>
      </x:c>
      <x:c r="B16" s="23" t="str">
        <x:v>Bank Guarrantee</x:v>
      </x:c>
      <x:c r="C16" s="23" t="str">
        <x:v>B/S</x:v>
      </x:c>
      <x:c r="D16" s="23" t="str">
        <x:v>Assets</x:v>
      </x:c>
      <x:c r="E16" s="30" t="n">
        <x:f>IFERROR(SUMIF('Opening Balances'!$A$3:$A$64,A16,'Opening Balances'!$D$3:$D$64),0)</x:f>
        <x:v>0</x:v>
      </x:c>
      <x:c r="F16" s="30" t="n">
        <x:f>IFERROR(SUMIF('Opening Balances'!$A$3:$A$64,A16,'Opening Balances'!$E$3:$E$64),0)</x:f>
        <x:v>0</x:v>
      </x:c>
      <x:c r="G16" s="30" t="n">
        <x:f>IFERROR(SUMIF('Journal Entries'!$F$3:$F$84,A16,'Journal Entries'!$H$3:$H$84),0)</x:f>
        <x:v>0</x:v>
      </x:c>
      <x:c r="H16" s="30" t="n">
        <x:f>IFERROR(SUMIF('Journal Entries'!$F$3:$F$84,A16,'Journal Entries'!$I$3:$I$84),0)</x:f>
        <x:v>0</x:v>
      </x:c>
      <x:c r="I16" s="30" t="n">
        <x:f>MAX(E16+G16-F16-H16,0)</x:f>
        <x:v>0</x:v>
      </x:c>
      <x:c r="J16" s="51" t="n">
        <x:f>MAX(F16+H16-E16-G16,0)</x:f>
        <x:v>0</x:v>
      </x:c>
    </x:row>
    <x:row r="17">
      <x:c r="A17" s="22" t="str">
        <x:v>1025</x:v>
      </x:c>
      <x:c r="B17" s="23" t="str">
        <x:v>Advance to Employees</x:v>
      </x:c>
      <x:c r="C17" s="23" t="str">
        <x:v>B/S</x:v>
      </x:c>
      <x:c r="D17" s="23" t="str">
        <x:v>Assets</x:v>
      </x:c>
      <x:c r="E17" s="30" t="n">
        <x:f>IFERROR(SUMIF('Opening Balances'!$A$3:$A$64,A17,'Opening Balances'!$D$3:$D$64),0)</x:f>
        <x:v>100000</x:v>
      </x:c>
      <x:c r="F17" s="30" t="n">
        <x:f>IFERROR(SUMIF('Opening Balances'!$A$3:$A$64,A17,'Opening Balances'!$E$3:$E$64),0)</x:f>
        <x:v>0</x:v>
      </x:c>
      <x:c r="G17" s="30" t="n">
        <x:f>IFERROR(SUMIF('Journal Entries'!$F$3:$F$84,A17,'Journal Entries'!$H$3:$H$84),0)</x:f>
        <x:v>0</x:v>
      </x:c>
      <x:c r="H17" s="30" t="n">
        <x:f>IFERROR(SUMIF('Journal Entries'!$F$3:$F$84,A17,'Journal Entries'!$I$3:$I$84),0)</x:f>
        <x:v>0</x:v>
      </x:c>
      <x:c r="I17" s="30" t="n">
        <x:f>MAX(E17+G17-F17-H17,0)</x:f>
        <x:v>100000</x:v>
      </x:c>
      <x:c r="J17" s="51" t="n">
        <x:f>MAX(F17+H17-E17-G17,0)</x:f>
        <x:v>0</x:v>
      </x:c>
    </x:row>
    <x:row r="18">
      <x:c r="A18" s="22" t="str">
        <x:v>1026</x:v>
      </x:c>
      <x:c r="B18" s="23" t="str">
        <x:v>Prepayments</x:v>
      </x:c>
      <x:c r="C18" s="23" t="str">
        <x:v>B/S</x:v>
      </x:c>
      <x:c r="D18" s="23" t="str">
        <x:v>Assets</x:v>
      </x:c>
      <x:c r="E18" s="30" t="n">
        <x:f>IFERROR(SUMIF('Opening Balances'!$A$3:$A$64,A18,'Opening Balances'!$D$3:$D$64),0)</x:f>
        <x:v>100000</x:v>
      </x:c>
      <x:c r="F18" s="30" t="n">
        <x:f>IFERROR(SUMIF('Opening Balances'!$A$3:$A$64,A18,'Opening Balances'!$E$3:$E$64),0)</x:f>
        <x:v>0</x:v>
      </x:c>
      <x:c r="G18" s="30" t="n">
        <x:f>IFERROR(SUMIF('Journal Entries'!$F$3:$F$84,A18,'Journal Entries'!$H$3:$H$84),0)</x:f>
        <x:v>0</x:v>
      </x:c>
      <x:c r="H18" s="30" t="n">
        <x:f>IFERROR(SUMIF('Journal Entries'!$F$3:$F$84,A18,'Journal Entries'!$I$3:$I$84),0)</x:f>
        <x:v>0</x:v>
      </x:c>
      <x:c r="I18" s="30" t="n">
        <x:f>MAX(E18+G18-F18-H18,0)</x:f>
        <x:v>100000</x:v>
      </x:c>
      <x:c r="J18" s="51" t="n">
        <x:f>MAX(F18+H18-E18-G18,0)</x:f>
        <x:v>0</x:v>
      </x:c>
    </x:row>
    <x:row r="19">
      <x:c r="A19" s="22" t="str">
        <x:v>1027</x:v>
      </x:c>
      <x:c r="B19" s="23" t="str">
        <x:v>Input sales tax</x:v>
      </x:c>
      <x:c r="C19" s="23" t="str">
        <x:v>B/S</x:v>
      </x:c>
      <x:c r="D19" s="23" t="str">
        <x:v>Libailities</x:v>
      </x:c>
      <x:c r="E19" s="30" t="n">
        <x:f>IFERROR(SUMIF('Opening Balances'!$A$3:$A$64,A19,'Opening Balances'!$D$3:$D$64),0)</x:f>
        <x:v>0</x:v>
      </x:c>
      <x:c r="F19" s="30" t="n">
        <x:f>IFERROR(SUMIF('Opening Balances'!$A$3:$A$64,A19,'Opening Balances'!$E$3:$E$64),0)</x:f>
        <x:v>0</x:v>
      </x:c>
      <x:c r="G19" s="30" t="n">
        <x:f>IFERROR(SUMIF('Journal Entries'!$F$3:$F$84,A19,'Journal Entries'!$H$3:$H$84),0)</x:f>
        <x:v>0</x:v>
      </x:c>
      <x:c r="H19" s="30" t="n">
        <x:f>IFERROR(SUMIF('Journal Entries'!$F$3:$F$84,A19,'Journal Entries'!$I$3:$I$84),0)</x:f>
        <x:v>0</x:v>
      </x:c>
      <x:c r="I19" s="30" t="n">
        <x:f>MAX(E19+G19-F19-H19,0)</x:f>
        <x:v>0</x:v>
      </x:c>
      <x:c r="J19" s="51" t="n">
        <x:f>MAX(F19+H19-E19-G19,0)</x:f>
        <x:v>0</x:v>
      </x:c>
    </x:row>
    <x:row r="20">
      <x:c r="A20" s="22" t="str">
        <x:v>1028</x:v>
      </x:c>
      <x:c r="B20" s="23" t="str">
        <x:v>PK49DUIB0000000627075001</x:v>
      </x:c>
      <x:c r="C20" s="23" t="str">
        <x:v>B/S</x:v>
      </x:c>
      <x:c r="D20" s="23" t="str">
        <x:v>Assets</x:v>
      </x:c>
      <x:c r="E20" s="30" t="n">
        <x:f>IFERROR(SUMIF('Opening Balances'!$A$3:$A$64,A20,'Opening Balances'!$D$3:$D$64),0)</x:f>
        <x:v>500000</x:v>
      </x:c>
      <x:c r="F20" s="30" t="n">
        <x:f>IFERROR(SUMIF('Opening Balances'!$A$3:$A$64,A20,'Opening Balances'!$E$3:$E$64),0)</x:f>
        <x:v>0</x:v>
      </x:c>
      <x:c r="G20" s="30" t="n">
        <x:f>IFERROR(SUMIF('Journal Entries'!$F$3:$F$84,A20,'Journal Entries'!$H$3:$H$84),0)</x:f>
        <x:v>980000</x:v>
      </x:c>
      <x:c r="H20" s="30" t="n">
        <x:f>IFERROR(SUMIF('Journal Entries'!$F$3:$F$84,A20,'Journal Entries'!$I$3:$I$84),0)</x:f>
        <x:v>1280000</x:v>
      </x:c>
      <x:c r="I20" s="30" t="n">
        <x:f>MAX(E20+G20-F20-H20,0)</x:f>
        <x:v>200000</x:v>
      </x:c>
      <x:c r="J20" s="51" t="n">
        <x:f>MAX(F20+H20-E20-G20,0)</x:f>
        <x:v>0</x:v>
      </x:c>
    </x:row>
    <x:row r="21">
      <x:c r="A21" s="22" t="str">
        <x:v>1029</x:v>
      </x:c>
      <x:c r="B21" s="23" t="str">
        <x:v>PK55HABB0022827200508103</x:v>
      </x:c>
      <x:c r="C21" s="23" t="str">
        <x:v>B/S</x:v>
      </x:c>
      <x:c r="D21" s="23" t="str">
        <x:v>Assets</x:v>
      </x:c>
      <x:c r="E21" s="30" t="n">
        <x:f>IFERROR(SUMIF('Opening Balances'!$A$3:$A$64,A21,'Opening Balances'!$D$3:$D$64),0)</x:f>
        <x:v>1500000</x:v>
      </x:c>
      <x:c r="F21" s="30" t="n">
        <x:f>IFERROR(SUMIF('Opening Balances'!$A$3:$A$64,A21,'Opening Balances'!$E$3:$E$64),0)</x:f>
        <x:v>0</x:v>
      </x:c>
      <x:c r="G21" s="30" t="n">
        <x:f>IFERROR(SUMIF('Journal Entries'!$F$3:$F$84,A21,'Journal Entries'!$H$3:$H$84),0)</x:f>
        <x:v>2450000</x:v>
      </x:c>
      <x:c r="H21" s="30" t="n">
        <x:f>IFERROR(SUMIF('Journal Entries'!$F$3:$F$84,A21,'Journal Entries'!$I$3:$I$84),0)</x:f>
        <x:v>1978000</x:v>
      </x:c>
      <x:c r="I21" s="30" t="n">
        <x:f>MAX(E21+G21-F21-H21,0)</x:f>
        <x:v>1972000</x:v>
      </x:c>
      <x:c r="J21" s="51" t="n">
        <x:f>MAX(F21+H21-E21-G21,0)</x:f>
        <x:v>0</x:v>
      </x:c>
    </x:row>
    <x:row r="22">
      <x:c r="A22" s="22" t="str">
        <x:v>1030</x:v>
      </x:c>
      <x:c r="B22" s="23" t="str">
        <x:v>PK24MEZN0001110107095251</x:v>
      </x:c>
      <x:c r="C22" s="23" t="str">
        <x:v>B/S</x:v>
      </x:c>
      <x:c r="D22" s="23" t="str">
        <x:v>Assets</x:v>
      </x:c>
      <x:c r="E22" s="30" t="n">
        <x:f>IFERROR(SUMIF('Opening Balances'!$A$3:$A$64,A22,'Opening Balances'!$D$3:$D$64),0)</x:f>
        <x:v>1000000</x:v>
      </x:c>
      <x:c r="F22" s="30" t="n">
        <x:f>IFERROR(SUMIF('Opening Balances'!$A$3:$A$64,A22,'Opening Balances'!$E$3:$E$64),0)</x:f>
        <x:v>0</x:v>
      </x:c>
      <x:c r="G22" s="30" t="n">
        <x:f>IFERROR(SUMIF('Journal Entries'!$F$3:$F$84,A22,'Journal Entries'!$H$3:$H$84),0)</x:f>
        <x:v>900000</x:v>
      </x:c>
      <x:c r="H22" s="30" t="n">
        <x:f>IFERROR(SUMIF('Journal Entries'!$F$3:$F$84,A22,'Journal Entries'!$I$3:$I$84),0)</x:f>
        <x:v>425000</x:v>
      </x:c>
      <x:c r="I22" s="30" t="n">
        <x:f>MAX(E22+G22-F22-H22,0)</x:f>
        <x:v>1475000</x:v>
      </x:c>
      <x:c r="J22" s="51" t="n">
        <x:f>MAX(F22+H22-E22-G22,0)</x:f>
        <x:v>0</x:v>
      </x:c>
    </x:row>
    <x:row r="23">
      <x:c r="A23" s="22" t="str">
        <x:v>1031</x:v>
      </x:c>
      <x:c r="B23" s="23" t="str">
        <x:v>PK75MPBL0124067140164610</x:v>
      </x:c>
      <x:c r="C23" s="23" t="str">
        <x:v>B/S</x:v>
      </x:c>
      <x:c r="D23" s="23" t="str">
        <x:v>Assets</x:v>
      </x:c>
      <x:c r="E23" s="30" t="n">
        <x:f>IFERROR(SUMIF('Opening Balances'!$A$3:$A$64,A23,'Opening Balances'!$D$3:$D$64),0)</x:f>
        <x:v>800000</x:v>
      </x:c>
      <x:c r="F23" s="30" t="n">
        <x:f>IFERROR(SUMIF('Opening Balances'!$A$3:$A$64,A23,'Opening Balances'!$E$3:$E$64),0)</x:f>
        <x:v>0</x:v>
      </x:c>
      <x:c r="G23" s="30" t="n">
        <x:f>IFERROR(SUMIF('Journal Entries'!$F$3:$F$84,A23,'Journal Entries'!$H$3:$H$84),0)</x:f>
        <x:v>1114000</x:v>
      </x:c>
      <x:c r="H23" s="30" t="n">
        <x:f>IFERROR(SUMIF('Journal Entries'!$F$3:$F$84,A23,'Journal Entries'!$I$3:$I$84),0)</x:f>
        <x:v>362000</x:v>
      </x:c>
      <x:c r="I23" s="30" t="n">
        <x:f>MAX(E23+G23-F23-H23,0)</x:f>
        <x:v>1552000</x:v>
      </x:c>
      <x:c r="J23" s="51" t="n">
        <x:f>MAX(F23+H23-E23-G23,0)</x:f>
        <x:v>0</x:v>
      </x:c>
    </x:row>
    <x:row r="24">
      <x:c r="A24" s="22" t="str">
        <x:v>1032</x:v>
      </x:c>
      <x:c r="B24" s="23" t="str">
        <x:v>Sales Tax Payable</x:v>
      </x:c>
      <x:c r="C24" s="23" t="str">
        <x:v>B/S</x:v>
      </x:c>
      <x:c r="D24" s="23" t="str">
        <x:v>Libailities</x:v>
      </x:c>
      <x:c r="E24" s="30" t="n">
        <x:f>IFERROR(SUMIF('Opening Balances'!$A$3:$A$64,A24,'Opening Balances'!$D$3:$D$64),0)</x:f>
        <x:v>0</x:v>
      </x:c>
      <x:c r="F24" s="30" t="n">
        <x:f>IFERROR(SUMIF('Opening Balances'!$A$3:$A$64,A24,'Opening Balances'!$E$3:$E$64),0)</x:f>
        <x:v>250000</x:v>
      </x:c>
      <x:c r="G24" s="30" t="n">
        <x:f>IFERROR(SUMIF('Journal Entries'!$F$3:$F$84,A24,'Journal Entries'!$H$3:$H$84),0)</x:f>
        <x:v>120000</x:v>
      </x:c>
      <x:c r="H24" s="30" t="n">
        <x:f>IFERROR(SUMIF('Journal Entries'!$F$3:$F$84,A24,'Journal Entries'!$I$3:$I$84),0)</x:f>
        <x:v>0</x:v>
      </x:c>
      <x:c r="I24" s="30" t="n">
        <x:f>MAX(E24+G24-F24-H24,0)</x:f>
        <x:v>0</x:v>
      </x:c>
      <x:c r="J24" s="51" t="n">
        <x:f>MAX(F24+H24-E24-G24,0)</x:f>
        <x:v>130000</x:v>
      </x:c>
    </x:row>
    <x:row r="25">
      <x:c r="A25" s="22" t="str">
        <x:v>1033</x:v>
      </x:c>
      <x:c r="B25" s="23" t="str">
        <x:v>Contract liability</x:v>
      </x:c>
      <x:c r="C25" s="23" t="str">
        <x:v>B/S</x:v>
      </x:c>
      <x:c r="D25" s="23" t="str">
        <x:v>Libailities</x:v>
      </x:c>
      <x:c r="E25" s="30" t="n">
        <x:f>IFERROR(SUMIF('Opening Balances'!$A$3:$A$64,A25,'Opening Balances'!$D$3:$D$64),0)</x:f>
        <x:v>0</x:v>
      </x:c>
      <x:c r="F25" s="30" t="n">
        <x:f>IFERROR(SUMIF('Opening Balances'!$A$3:$A$64,A25,'Opening Balances'!$E$3:$E$64),0)</x:f>
        <x:v>500000</x:v>
      </x:c>
      <x:c r="G25" s="30" t="n">
        <x:f>IFERROR(SUMIF('Journal Entries'!$F$3:$F$84,A25,'Journal Entries'!$H$3:$H$84),0)</x:f>
        <x:v>0</x:v>
      </x:c>
      <x:c r="H25" s="30" t="n">
        <x:f>IFERROR(SUMIF('Journal Entries'!$F$3:$F$84,A25,'Journal Entries'!$I$3:$I$84),0)</x:f>
        <x:v>0</x:v>
      </x:c>
      <x:c r="I25" s="30" t="n">
        <x:f>MAX(E25+G25-F25-H25,0)</x:f>
        <x:v>0</x:v>
      </x:c>
      <x:c r="J25" s="51" t="n">
        <x:f>MAX(F25+H25-E25-G25,0)</x:f>
        <x:v>500000</x:v>
      </x:c>
    </x:row>
    <x:row r="26">
      <x:c r="A26" s="22" t="str">
        <x:v>1034</x:v>
      </x:c>
      <x:c r="B26" s="23" t="str">
        <x:v>Accrued payroll</x:v>
      </x:c>
      <x:c r="C26" s="23" t="str">
        <x:v>B/S</x:v>
      </x:c>
      <x:c r="D26" s="23" t="str">
        <x:v>Libailities</x:v>
      </x:c>
      <x:c r="E26" s="30" t="n">
        <x:f>IFERROR(SUMIF('Opening Balances'!$A$3:$A$64,A26,'Opening Balances'!$D$3:$D$64),0)</x:f>
        <x:v>0</x:v>
      </x:c>
      <x:c r="F26" s="30" t="n">
        <x:f>IFERROR(SUMIF('Opening Balances'!$A$3:$A$64,A26,'Opening Balances'!$E$3:$E$64),0)</x:f>
        <x:v>400000</x:v>
      </x:c>
      <x:c r="G26" s="30" t="n">
        <x:f>IFERROR(SUMIF('Journal Entries'!$F$3:$F$84,A26,'Journal Entries'!$H$3:$H$84),0)</x:f>
        <x:v>25000</x:v>
      </x:c>
      <x:c r="H26" s="30" t="n">
        <x:f>IFERROR(SUMIF('Journal Entries'!$F$3:$F$84,A26,'Journal Entries'!$I$3:$I$84),0)</x:f>
        <x:v>0</x:v>
      </x:c>
      <x:c r="I26" s="30" t="n">
        <x:f>MAX(E26+G26-F26-H26,0)</x:f>
        <x:v>0</x:v>
      </x:c>
      <x:c r="J26" s="51" t="n">
        <x:f>MAX(F26+H26-E26-G26,0)</x:f>
        <x:v>375000</x:v>
      </x:c>
    </x:row>
    <x:row r="27">
      <x:c r="A27" s="22" t="str">
        <x:v>1035</x:v>
      </x:c>
      <x:c r="B27" s="23" t="str">
        <x:v>Accrued expenses</x:v>
      </x:c>
      <x:c r="C27" s="23" t="str">
        <x:v>B/S</x:v>
      </x:c>
      <x:c r="D27" s="23" t="str">
        <x:v>Libailities</x:v>
      </x:c>
      <x:c r="E27" s="30" t="n">
        <x:f>IFERROR(SUMIF('Opening Balances'!$A$3:$A$64,A27,'Opening Balances'!$D$3:$D$64),0)</x:f>
        <x:v>0</x:v>
      </x:c>
      <x:c r="F27" s="30" t="n">
        <x:f>IFERROR(SUMIF('Opening Balances'!$A$3:$A$64,A27,'Opening Balances'!$E$3:$E$64),0)</x:f>
        <x:v>250000</x:v>
      </x:c>
      <x:c r="G27" s="30" t="n">
        <x:f>IFERROR(SUMIF('Journal Entries'!$F$3:$F$84,A27,'Journal Entries'!$H$3:$H$84),0)</x:f>
        <x:v>0</x:v>
      </x:c>
      <x:c r="H27" s="30" t="n">
        <x:f>IFERROR(SUMIF('Journal Entries'!$F$3:$F$84,A27,'Journal Entries'!$I$3:$I$84),0)</x:f>
        <x:v>0</x:v>
      </x:c>
      <x:c r="I27" s="30" t="n">
        <x:f>MAX(E27+G27-F27-H27,0)</x:f>
        <x:v>0</x:v>
      </x:c>
      <x:c r="J27" s="51" t="n">
        <x:f>MAX(F27+H27-E27-G27,0)</x:f>
        <x:v>250000</x:v>
      </x:c>
    </x:row>
    <x:row r="28">
      <x:c r="A28" s="22" t="str">
        <x:v>1036</x:v>
      </x:c>
      <x:c r="B28" s="23" t="str">
        <x:v>Withholding tax payable:Withholding tax - Vendors</x:v>
      </x:c>
      <x:c r="C28" s="23" t="str">
        <x:v>B/S</x:v>
      </x:c>
      <x:c r="D28" s="23" t="str">
        <x:v>Libailities</x:v>
      </x:c>
      <x:c r="E28" s="30" t="n">
        <x:f>IFERROR(SUMIF('Opening Balances'!$A$3:$A$64,A28,'Opening Balances'!$D$3:$D$64),0)</x:f>
        <x:v>0</x:v>
      </x:c>
      <x:c r="F28" s="30" t="n">
        <x:f>IFERROR(SUMIF('Opening Balances'!$A$3:$A$64,A28,'Opening Balances'!$E$3:$E$64),0)</x:f>
        <x:v>100000</x:v>
      </x:c>
      <x:c r="G28" s="30" t="n">
        <x:f>IFERROR(SUMIF('Journal Entries'!$F$3:$F$84,A28,'Journal Entries'!$H$3:$H$84),0)</x:f>
        <x:v>22000</x:v>
      </x:c>
      <x:c r="H28" s="30" t="n">
        <x:f>IFERROR(SUMIF('Journal Entries'!$F$3:$F$84,A28,'Journal Entries'!$I$3:$I$84),0)</x:f>
        <x:v>0</x:v>
      </x:c>
      <x:c r="I28" s="30" t="n">
        <x:f>MAX(E28+G28-F28-H28,0)</x:f>
        <x:v>0</x:v>
      </x:c>
      <x:c r="J28" s="51" t="n">
        <x:f>MAX(F28+H28-E28-G28,0)</x:f>
        <x:v>78000</x:v>
      </x:c>
    </x:row>
    <x:row r="29">
      <x:c r="A29" s="22" t="str">
        <x:v>1037</x:v>
      </x:c>
      <x:c r="B29" s="23" t="str">
        <x:v>Advance against issue of shares</x:v>
      </x:c>
      <x:c r="C29" s="23" t="str">
        <x:v>B/S</x:v>
      </x:c>
      <x:c r="D29" s="23" t="str">
        <x:v>Equity</x:v>
      </x:c>
      <x:c r="E29" s="30" t="n">
        <x:f>IFERROR(SUMIF('Opening Balances'!$A$3:$A$64,A29,'Opening Balances'!$D$3:$D$64),0)</x:f>
        <x:v>0</x:v>
      </x:c>
      <x:c r="F29" s="30" t="n">
        <x:f>IFERROR(SUMIF('Opening Balances'!$A$3:$A$64,A29,'Opening Balances'!$E$3:$E$64),0)</x:f>
        <x:v>0</x:v>
      </x:c>
      <x:c r="G29" s="30" t="n">
        <x:f>IFERROR(SUMIF('Journal Entries'!$F$3:$F$84,A29,'Journal Entries'!$H$3:$H$84),0)</x:f>
        <x:v>0</x:v>
      </x:c>
      <x:c r="H29" s="30" t="n">
        <x:f>IFERROR(SUMIF('Journal Entries'!$F$3:$F$84,A29,'Journal Entries'!$I$3:$I$84),0)</x:f>
        <x:v>200000</x:v>
      </x:c>
      <x:c r="I29" s="30" t="n">
        <x:f>MAX(E29+G29-F29-H29,0)</x:f>
        <x:v>0</x:v>
      </x:c>
      <x:c r="J29" s="51" t="n">
        <x:f>MAX(F29+H29-E29-G29,0)</x:f>
        <x:v>200000</x:v>
      </x:c>
    </x:row>
    <x:row r="30">
      <x:c r="A30" s="22" t="str">
        <x:v>1038</x:v>
      </x:c>
      <x:c r="B30" s="23" t="str">
        <x:v>Retained Earnings</x:v>
      </x:c>
      <x:c r="C30" s="23" t="str">
        <x:v>B/S</x:v>
      </x:c>
      <x:c r="D30" s="23" t="str">
        <x:v>Equity</x:v>
      </x:c>
      <x:c r="E30" s="30" t="n">
        <x:f>IFERROR(SUMIF('Opening Balances'!$A$3:$A$64,A30,'Opening Balances'!$D$3:$D$64),0)</x:f>
        <x:v>0</x:v>
      </x:c>
      <x:c r="F30" s="30" t="n">
        <x:f>IFERROR(SUMIF('Opening Balances'!$A$3:$A$64,A30,'Opening Balances'!$E$3:$E$64),0)</x:f>
        <x:v>0</x:v>
      </x:c>
      <x:c r="G30" s="30" t="n">
        <x:f>IFERROR(SUMIF('Journal Entries'!$F$3:$F$84,A30,'Journal Entries'!$H$3:$H$84),0)</x:f>
        <x:v>0</x:v>
      </x:c>
      <x:c r="H30" s="30" t="n">
        <x:f>IFERROR(SUMIF('Journal Entries'!$F$3:$F$84,A30,'Journal Entries'!$I$3:$I$84),0)</x:f>
        <x:v>0</x:v>
      </x:c>
      <x:c r="I30" s="30" t="n">
        <x:f>MAX(E30+G30-F30-H30,0)</x:f>
        <x:v>0</x:v>
      </x:c>
      <x:c r="J30" s="51" t="n">
        <x:f>MAX(F30+H30-E30-G30,0)</x:f>
        <x:v>0</x:v>
      </x:c>
    </x:row>
    <x:row r="31">
      <x:c r="A31" s="22" t="str">
        <x:v>1039</x:v>
      </x:c>
      <x:c r="B31" s="23" t="str">
        <x:v>Share premium</x:v>
      </x:c>
      <x:c r="C31" s="23" t="str">
        <x:v>B/S</x:v>
      </x:c>
      <x:c r="D31" s="23" t="str">
        <x:v>Equity</x:v>
      </x:c>
      <x:c r="E31" s="30" t="n">
        <x:f>IFERROR(SUMIF('Opening Balances'!$A$3:$A$64,A31,'Opening Balances'!$D$3:$D$64),0)</x:f>
        <x:v>0</x:v>
      </x:c>
      <x:c r="F31" s="30" t="n">
        <x:f>IFERROR(SUMIF('Opening Balances'!$A$3:$A$64,A31,'Opening Balances'!$E$3:$E$64),0)</x:f>
        <x:v>0</x:v>
      </x:c>
      <x:c r="G31" s="30" t="n">
        <x:f>IFERROR(SUMIF('Journal Entries'!$F$3:$F$84,A31,'Journal Entries'!$H$3:$H$84),0)</x:f>
        <x:v>0</x:v>
      </x:c>
      <x:c r="H31" s="30" t="n">
        <x:f>IFERROR(SUMIF('Journal Entries'!$F$3:$F$84,A31,'Journal Entries'!$I$3:$I$84),0)</x:f>
        <x:v>0</x:v>
      </x:c>
      <x:c r="I31" s="30" t="n">
        <x:f>MAX(E31+G31-F31-H31,0)</x:f>
        <x:v>0</x:v>
      </x:c>
      <x:c r="J31" s="51" t="n">
        <x:f>MAX(F31+H31-E31-G31,0)</x:f>
        <x:v>0</x:v>
      </x:c>
    </x:row>
    <x:row r="32">
      <x:c r="A32" s="22" t="str">
        <x:v>1040</x:v>
      </x:c>
      <x:c r="B32" s="23" t="str">
        <x:v>Share capital</x:v>
      </x:c>
      <x:c r="C32" s="23" t="str">
        <x:v>B/S</x:v>
      </x:c>
      <x:c r="D32" s="23" t="str">
        <x:v>Equity</x:v>
      </x:c>
      <x:c r="E32" s="30" t="n">
        <x:f>IFERROR(SUMIF('Opening Balances'!$A$3:$A$64,A32,'Opening Balances'!$D$3:$D$64),0)</x:f>
        <x:v>0</x:v>
      </x:c>
      <x:c r="F32" s="30" t="n">
        <x:f>IFERROR(SUMIF('Opening Balances'!$A$3:$A$64,A32,'Opening Balances'!$E$3:$E$64),0)</x:f>
        <x:v>4775000</x:v>
      </x:c>
      <x:c r="G32" s="30" t="n">
        <x:f>IFERROR(SUMIF('Journal Entries'!$F$3:$F$84,A32,'Journal Entries'!$H$3:$H$84),0)</x:f>
        <x:v>0</x:v>
      </x:c>
      <x:c r="H32" s="30" t="n">
        <x:f>IFERROR(SUMIF('Journal Entries'!$F$3:$F$84,A32,'Journal Entries'!$I$3:$I$84),0)</x:f>
        <x:v>0</x:v>
      </x:c>
      <x:c r="I32" s="30" t="n">
        <x:f>MAX(E32+G32-F32-H32,0)</x:f>
        <x:v>0</x:v>
      </x:c>
      <x:c r="J32" s="51" t="n">
        <x:f>MAX(F32+H32-E32-G32,0)</x:f>
        <x:v>4775000</x:v>
      </x:c>
    </x:row>
    <x:row r="33">
      <x:c r="A33" s="22" t="str">
        <x:v>1041</x:v>
      </x:c>
      <x:c r="B33" s="23" t="str">
        <x:v>ABHI</x:v>
      </x:c>
      <x:c r="C33" s="23" t="str">
        <x:v>B/S</x:v>
      </x:c>
      <x:c r="D33" s="23" t="str">
        <x:v>Libailities</x:v>
      </x:c>
      <x:c r="E33" s="30" t="n">
        <x:f>IFERROR(SUMIF('Opening Balances'!$A$3:$A$64,A33,'Opening Balances'!$D$3:$D$64),0)</x:f>
        <x:v>0</x:v>
      </x:c>
      <x:c r="F33" s="30" t="n">
        <x:f>IFERROR(SUMIF('Opening Balances'!$A$3:$A$64,A33,'Opening Balances'!$E$3:$E$64),0)</x:f>
        <x:v>700000</x:v>
      </x:c>
      <x:c r="G33" s="30" t="n">
        <x:f>IFERROR(SUMIF('Journal Entries'!$F$3:$F$84,A33,'Journal Entries'!$H$3:$H$84),0)</x:f>
        <x:v>150000</x:v>
      </x:c>
      <x:c r="H33" s="30" t="n">
        <x:f>IFERROR(SUMIF('Journal Entries'!$F$3:$F$84,A33,'Journal Entries'!$I$3:$I$84),0)</x:f>
        <x:v>300000</x:v>
      </x:c>
      <x:c r="I33" s="30" t="n">
        <x:f>MAX(E33+G33-F33-H33,0)</x:f>
        <x:v>0</x:v>
      </x:c>
      <x:c r="J33" s="51" t="n">
        <x:f>MAX(F33+H33-E33-G33,0)</x:f>
        <x:v>850000</x:v>
      </x:c>
    </x:row>
    <x:row r="34">
      <x:c r="A34" s="22" t="str">
        <x:v>1042</x:v>
      </x:c>
      <x:c r="B34" s="23" t="str">
        <x:v>Audit Fee Payable</x:v>
      </x:c>
      <x:c r="C34" s="23" t="str">
        <x:v>B/S</x:v>
      </x:c>
      <x:c r="D34" s="23" t="str">
        <x:v>Libailities</x:v>
      </x:c>
      <x:c r="E34" s="30" t="n">
        <x:f>IFERROR(SUMIF('Opening Balances'!$A$3:$A$64,A34,'Opening Balances'!$D$3:$D$64),0)</x:f>
        <x:v>0</x:v>
      </x:c>
      <x:c r="F34" s="30" t="n">
        <x:f>IFERROR(SUMIF('Opening Balances'!$A$3:$A$64,A34,'Opening Balances'!$E$3:$E$64),0)</x:f>
        <x:v>100000</x:v>
      </x:c>
      <x:c r="G34" s="30" t="n">
        <x:f>IFERROR(SUMIF('Journal Entries'!$F$3:$F$84,A34,'Journal Entries'!$H$3:$H$84),0)</x:f>
        <x:v>0</x:v>
      </x:c>
      <x:c r="H34" s="30" t="n">
        <x:f>IFERROR(SUMIF('Journal Entries'!$F$3:$F$84,A34,'Journal Entries'!$I$3:$I$84),0)</x:f>
        <x:v>0</x:v>
      </x:c>
      <x:c r="I34" s="30" t="n">
        <x:f>MAX(E34+G34-F34-H34,0)</x:f>
        <x:v>0</x:v>
      </x:c>
      <x:c r="J34" s="51" t="n">
        <x:f>MAX(F34+H34-E34-G34,0)</x:f>
        <x:v>100000</x:v>
      </x:c>
    </x:row>
    <x:row r="35">
      <x:c r="A35" s="22" t="str">
        <x:v>1043</x:v>
      </x:c>
      <x:c r="B35" s="23" t="str">
        <x:v>Prepaid Leasehold</x:v>
      </x:c>
      <x:c r="C35" s="23" t="str">
        <x:v>B/S</x:v>
      </x:c>
      <x:c r="D35" s="23" t="str">
        <x:v>Assets</x:v>
      </x:c>
      <x:c r="E35" s="30" t="n">
        <x:f>IFERROR(SUMIF('Opening Balances'!$A$3:$A$64,A35,'Opening Balances'!$D$3:$D$64),0)</x:f>
        <x:v>0</x:v>
      </x:c>
      <x:c r="F35" s="30" t="n">
        <x:f>IFERROR(SUMIF('Opening Balances'!$A$3:$A$64,A35,'Opening Balances'!$E$3:$E$64),0)</x:f>
        <x:v>0</x:v>
      </x:c>
      <x:c r="G35" s="30" t="n">
        <x:f>IFERROR(SUMIF('Journal Entries'!$F$3:$F$84,A35,'Journal Entries'!$H$3:$H$84),0)</x:f>
        <x:v>0</x:v>
      </x:c>
      <x:c r="H35" s="30" t="n">
        <x:f>IFERROR(SUMIF('Journal Entries'!$F$3:$F$84,A35,'Journal Entries'!$I$3:$I$84),0)</x:f>
        <x:v>0</x:v>
      </x:c>
      <x:c r="I35" s="30" t="n">
        <x:f>MAX(E35+G35-F35-H35,0)</x:f>
        <x:v>0</x:v>
      </x:c>
      <x:c r="J35" s="51" t="n">
        <x:f>MAX(F35+H35-E35-G35,0)</x:f>
        <x:v>0</x:v>
      </x:c>
    </x:row>
    <x:row r="36">
      <x:c r="A36" s="22" t="str">
        <x:v>1044</x:v>
      </x:c>
      <x:c r="B36" s="23" t="str">
        <x:v>Advance tax</x:v>
      </x:c>
      <x:c r="C36" s="23" t="str">
        <x:v>B/S</x:v>
      </x:c>
      <x:c r="D36" s="23" t="str">
        <x:v>Assets</x:v>
      </x:c>
      <x:c r="E36" s="30" t="n">
        <x:f>IFERROR(SUMIF('Opening Balances'!$A$3:$A$64,A36,'Opening Balances'!$D$3:$D$64),0)</x:f>
        <x:v>150000</x:v>
      </x:c>
      <x:c r="F36" s="30" t="n">
        <x:f>IFERROR(SUMIF('Opening Balances'!$A$3:$A$64,A36,'Opening Balances'!$E$3:$E$64),0)</x:f>
        <x:v>0</x:v>
      </x:c>
      <x:c r="G36" s="30" t="n">
        <x:f>IFERROR(SUMIF('Journal Entries'!$F$3:$F$84,A36,'Journal Entries'!$H$3:$H$84),0)</x:f>
        <x:v>70000</x:v>
      </x:c>
      <x:c r="H36" s="30" t="n">
        <x:f>IFERROR(SUMIF('Journal Entries'!$F$3:$F$84,A36,'Journal Entries'!$I$3:$I$84),0)</x:f>
        <x:v>0</x:v>
      </x:c>
      <x:c r="I36" s="30" t="n">
        <x:f>MAX(E36+G36-F36-H36,0)</x:f>
        <x:v>220000</x:v>
      </x:c>
      <x:c r="J36" s="51" t="n">
        <x:f>MAX(F36+H36-E36-G36,0)</x:f>
        <x:v>0</x:v>
      </x:c>
    </x:row>
    <x:row r="37">
      <x:c r="A37" s="22" t="str">
        <x:v>1045</x:v>
      </x:c>
      <x:c r="B37" s="23" t="str">
        <x:v>WHT on Bank Profit</x:v>
      </x:c>
      <x:c r="C37" s="23" t="str">
        <x:v>B/S</x:v>
      </x:c>
      <x:c r="D37" s="23" t="str">
        <x:v>Assets</x:v>
      </x:c>
      <x:c r="E37" s="30" t="n">
        <x:f>IFERROR(SUMIF('Opening Balances'!$A$3:$A$64,A37,'Opening Balances'!$D$3:$D$64),0)</x:f>
        <x:v>25000</x:v>
      </x:c>
      <x:c r="F37" s="30" t="n">
        <x:f>IFERROR(SUMIF('Opening Balances'!$A$3:$A$64,A37,'Opening Balances'!$E$3:$E$64),0)</x:f>
        <x:v>0</x:v>
      </x:c>
      <x:c r="G37" s="30" t="n">
        <x:f>IFERROR(SUMIF('Journal Entries'!$F$3:$F$84,A37,'Journal Entries'!$H$3:$H$84),0)</x:f>
        <x:v>2000</x:v>
      </x:c>
      <x:c r="H37" s="30" t="n">
        <x:f>IFERROR(SUMIF('Journal Entries'!$F$3:$F$84,A37,'Journal Entries'!$I$3:$I$84),0)</x:f>
        <x:v>0</x:v>
      </x:c>
      <x:c r="I37" s="30" t="n">
        <x:f>MAX(E37+G37-F37-H37,0)</x:f>
        <x:v>27000</x:v>
      </x:c>
      <x:c r="J37" s="51" t="n">
        <x:f>MAX(F37+H37-E37-G37,0)</x:f>
        <x:v>0</x:v>
      </x:c>
    </x:row>
    <x:row r="38">
      <x:c r="A38" s="22" t="str">
        <x:v>1046</x:v>
      </x:c>
      <x:c r="B38" s="23" t="str">
        <x:v>Withholding tax :Withholding tax - Utilities</x:v>
      </x:c>
      <x:c r="C38" s="23" t="str">
        <x:v>B/S</x:v>
      </x:c>
      <x:c r="D38" s="23" t="str">
        <x:v>Assets</x:v>
      </x:c>
      <x:c r="E38" s="30" t="n">
        <x:f>IFERROR(SUMIF('Opening Balances'!$A$3:$A$64,A38,'Opening Balances'!$D$3:$D$64),0)</x:f>
        <x:v>0</x:v>
      </x:c>
      <x:c r="F38" s="30" t="n">
        <x:f>IFERROR(SUMIF('Opening Balances'!$A$3:$A$64,A38,'Opening Balances'!$E$3:$E$64),0)</x:f>
        <x:v>0</x:v>
      </x:c>
      <x:c r="G38" s="30" t="n">
        <x:f>IFERROR(SUMIF('Journal Entries'!$F$3:$F$84,A38,'Journal Entries'!$H$3:$H$84),0)</x:f>
        <x:v>0</x:v>
      </x:c>
      <x:c r="H38" s="30" t="n">
        <x:f>IFERROR(SUMIF('Journal Entries'!$F$3:$F$84,A38,'Journal Entries'!$I$3:$I$84),0)</x:f>
        <x:v>0</x:v>
      </x:c>
      <x:c r="I38" s="30" t="n">
        <x:f>MAX(E38+G38-F38-H38,0)</x:f>
        <x:v>0</x:v>
      </x:c>
      <x:c r="J38" s="51" t="n">
        <x:f>MAX(F38+H38-E38-G38,0)</x:f>
        <x:v>0</x:v>
      </x:c>
    </x:row>
    <x:row r="39">
      <x:c r="A39" s="22" t="str">
        <x:v>1047</x:v>
      </x:c>
      <x:c r="B39" s="23" t="str">
        <x:v>Provision for Taxation</x:v>
      </x:c>
      <x:c r="C39" s="23" t="str">
        <x:v>B/S</x:v>
      </x:c>
      <x:c r="D39" s="23" t="str">
        <x:v>Assets</x:v>
      </x:c>
      <x:c r="E39" s="30" t="n">
        <x:f>IFERROR(SUMIF('Opening Balances'!$A$3:$A$64,A39,'Opening Balances'!$D$3:$D$64),0)</x:f>
        <x:v>0</x:v>
      </x:c>
      <x:c r="F39" s="30" t="n">
        <x:f>IFERROR(SUMIF('Opening Balances'!$A$3:$A$64,A39,'Opening Balances'!$E$3:$E$64),0)</x:f>
        <x:v>250000</x:v>
      </x:c>
      <x:c r="G39" s="30" t="n">
        <x:f>IFERROR(SUMIF('Journal Entries'!$F$3:$F$84,A39,'Journal Entries'!$H$3:$H$84),0)</x:f>
        <x:v>0</x:v>
      </x:c>
      <x:c r="H39" s="30" t="n">
        <x:f>IFERROR(SUMIF('Journal Entries'!$F$3:$F$84,A39,'Journal Entries'!$I$3:$I$84),0)</x:f>
        <x:v>0</x:v>
      </x:c>
      <x:c r="I39" s="30" t="n">
        <x:f>MAX(E39+G39-F39-H39,0)</x:f>
        <x:v>0</x:v>
      </x:c>
      <x:c r="J39" s="51" t="n">
        <x:f>MAX(F39+H39-E39-G39,0)</x:f>
        <x:v>250000</x:v>
      </x:c>
    </x:row>
    <x:row r="40">
      <x:c r="A40" s="22" t="str">
        <x:v>1048</x:v>
      </x:c>
      <x:c r="B40" s="23" t="str">
        <x:v>Taxation ( Current Year)</x:v>
      </x:c>
      <x:c r="C40" s="23" t="str">
        <x:v>P&amp;L</x:v>
      </x:c>
      <x:c r="D40" s="23" t="str">
        <x:v>Expenses</x:v>
      </x:c>
      <x:c r="E40" s="30" t="n">
        <x:f>IFERROR(SUMIF('Opening Balances'!$A$3:$A$64,A40,'Opening Balances'!$D$3:$D$64),0)</x:f>
        <x:v>0</x:v>
      </x:c>
      <x:c r="F40" s="30" t="n">
        <x:f>IFERROR(SUMIF('Opening Balances'!$A$3:$A$64,A40,'Opening Balances'!$E$3:$E$64),0)</x:f>
        <x:v>0</x:v>
      </x:c>
      <x:c r="G40" s="30" t="n">
        <x:f>IFERROR(SUMIF('Journal Entries'!$F$3:$F$84,A40,'Journal Entries'!$H$3:$H$84),0)</x:f>
        <x:v>0</x:v>
      </x:c>
      <x:c r="H40" s="30" t="n">
        <x:f>IFERROR(SUMIF('Journal Entries'!$F$3:$F$84,A40,'Journal Entries'!$I$3:$I$84),0)</x:f>
        <x:v>0</x:v>
      </x:c>
      <x:c r="I40" s="30" t="n">
        <x:f>MAX(E40+G40-F40-H40,0)</x:f>
        <x:v>0</x:v>
      </x:c>
      <x:c r="J40" s="51" t="n">
        <x:f>MAX(F40+H40-E40-G40,0)</x:f>
        <x:v>0</x:v>
      </x:c>
    </x:row>
    <x:row r="41">
      <x:c r="A41" s="22" t="str">
        <x:v>1049</x:v>
      </x:c>
      <x:c r="B41" s="23" t="str">
        <x:v>Fleet Subsidy</x:v>
      </x:c>
      <x:c r="C41" s="23" t="str">
        <x:v>P&amp;L</x:v>
      </x:c>
      <x:c r="D41" s="23" t="str">
        <x:v>Expenses</x:v>
      </x:c>
      <x:c r="E41" s="30" t="n">
        <x:f>IFERROR(SUMIF('Opening Balances'!$A$3:$A$64,A41,'Opening Balances'!$D$3:$D$64),0)</x:f>
        <x:v>0</x:v>
      </x:c>
      <x:c r="F41" s="30" t="n">
        <x:f>IFERROR(SUMIF('Opening Balances'!$A$3:$A$64,A41,'Opening Balances'!$E$3:$E$64),0)</x:f>
        <x:v>0</x:v>
      </x:c>
      <x:c r="G41" s="30" t="n">
        <x:f>IFERROR(SUMIF('Journal Entries'!$F$3:$F$84,A41,'Journal Entries'!$H$3:$H$84),0)</x:f>
        <x:v>0</x:v>
      </x:c>
      <x:c r="H41" s="30" t="n">
        <x:f>IFERROR(SUMIF('Journal Entries'!$F$3:$F$84,A41,'Journal Entries'!$I$3:$I$84),0)</x:f>
        <x:v>0</x:v>
      </x:c>
      <x:c r="I41" s="30" t="n">
        <x:f>MAX(E41+G41-F41-H41,0)</x:f>
        <x:v>0</x:v>
      </x:c>
      <x:c r="J41" s="51" t="n">
        <x:f>MAX(F41+H41-E41-G41,0)</x:f>
        <x:v>0</x:v>
      </x:c>
    </x:row>
    <x:row r="42">
      <x:c r="A42" s="22" t="str">
        <x:v>1050</x:v>
      </x:c>
      <x:c r="B42" s="23" t="str">
        <x:v>Sales revenue</x:v>
      </x:c>
      <x:c r="C42" s="23" t="str">
        <x:v>P&amp;L</x:v>
      </x:c>
      <x:c r="D42" s="23" t="str">
        <x:v>Revenue</x:v>
      </x:c>
      <x:c r="E42" s="30" t="n">
        <x:f>IFERROR(SUMIF('Opening Balances'!$A$3:$A$64,A42,'Opening Balances'!$D$3:$D$64),0)</x:f>
        <x:v>0</x:v>
      </x:c>
      <x:c r="F42" s="30" t="n">
        <x:f>IFERROR(SUMIF('Opening Balances'!$A$3:$A$64,A42,'Opening Balances'!$E$3:$E$64),0)</x:f>
        <x:v>0</x:v>
      </x:c>
      <x:c r="G42" s="30" t="n">
        <x:f>IFERROR(SUMIF('Journal Entries'!$F$3:$F$84,A42,'Journal Entries'!$H$3:$H$84),0)</x:f>
        <x:v>0</x:v>
      </x:c>
      <x:c r="H42" s="30" t="n">
        <x:f>IFERROR(SUMIF('Journal Entries'!$F$3:$F$84,A42,'Journal Entries'!$I$3:$I$84),0)</x:f>
        <x:v>2850000</x:v>
      </x:c>
      <x:c r="I42" s="30" t="n">
        <x:f>MAX(E42+G42-F42-H42,0)</x:f>
        <x:v>0</x:v>
      </x:c>
      <x:c r="J42" s="51" t="n">
        <x:f>MAX(F42+H42-E42-G42,0)</x:f>
        <x:v>2850000</x:v>
      </x:c>
    </x:row>
    <x:row r="43">
      <x:c r="A43" s="22" t="str">
        <x:v>1051</x:v>
      </x:c>
      <x:c r="B43" s="23" t="str">
        <x:v>Allowance for doubtful debts</x:v>
      </x:c>
      <x:c r="C43" s="23" t="str">
        <x:v>P&amp;L</x:v>
      </x:c>
      <x:c r="D43" s="23" t="str">
        <x:v>Expenses</x:v>
      </x:c>
      <x:c r="E43" s="30" t="n">
        <x:f>IFERROR(SUMIF('Opening Balances'!$A$3:$A$64,A43,'Opening Balances'!$D$3:$D$64),0)</x:f>
        <x:v>0</x:v>
      </x:c>
      <x:c r="F43" s="30" t="n">
        <x:f>IFERROR(SUMIF('Opening Balances'!$A$3:$A$64,A43,'Opening Balances'!$E$3:$E$64),0)</x:f>
        <x:v>0</x:v>
      </x:c>
      <x:c r="G43" s="30" t="n">
        <x:f>IFERROR(SUMIF('Journal Entries'!$F$3:$F$84,A43,'Journal Entries'!$H$3:$H$84),0)</x:f>
        <x:v>0</x:v>
      </x:c>
      <x:c r="H43" s="30" t="n">
        <x:f>IFERROR(SUMIF('Journal Entries'!$F$3:$F$84,A43,'Journal Entries'!$I$3:$I$84),0)</x:f>
        <x:v>0</x:v>
      </x:c>
      <x:c r="I43" s="30" t="n">
        <x:f>MAX(E43+G43-F43-H43,0)</x:f>
        <x:v>0</x:v>
      </x:c>
      <x:c r="J43" s="51" t="n">
        <x:f>MAX(F43+H43-E43-G43,0)</x:f>
        <x:v>0</x:v>
      </x:c>
    </x:row>
    <x:row r="44">
      <x:c r="A44" s="22" t="str">
        <x:v>1052</x:v>
      </x:c>
      <x:c r="B44" s="23" t="str">
        <x:v>Allowance for doubtful debts</x:v>
      </x:c>
      <x:c r="C44" s="23" t="str">
        <x:v>P&amp;L</x:v>
      </x:c>
      <x:c r="D44" s="23" t="str">
        <x:v>Expenses</x:v>
      </x:c>
      <x:c r="E44" s="30" t="n">
        <x:f>IFERROR(SUMIF('Opening Balances'!$A$3:$A$64,A44,'Opening Balances'!$D$3:$D$64),0)</x:f>
        <x:v>0</x:v>
      </x:c>
      <x:c r="F44" s="30" t="n">
        <x:f>IFERROR(SUMIF('Opening Balances'!$A$3:$A$64,A44,'Opening Balances'!$E$3:$E$64),0)</x:f>
        <x:v>0</x:v>
      </x:c>
      <x:c r="G44" s="30" t="n">
        <x:f>IFERROR(SUMIF('Journal Entries'!$F$3:$F$84,A44,'Journal Entries'!$H$3:$H$84),0)</x:f>
        <x:v>0</x:v>
      </x:c>
      <x:c r="H44" s="30" t="n">
        <x:f>IFERROR(SUMIF('Journal Entries'!$F$3:$F$84,A44,'Journal Entries'!$I$3:$I$84),0)</x:f>
        <x:v>0</x:v>
      </x:c>
      <x:c r="I44" s="30" t="n">
        <x:f>MAX(E44+G44-F44-H44,0)</x:f>
        <x:v>0</x:v>
      </x:c>
      <x:c r="J44" s="51" t="n">
        <x:f>MAX(F44+H44-E44-G44,0)</x:f>
        <x:v>0</x:v>
      </x:c>
    </x:row>
    <x:row r="45">
      <x:c r="A45" s="22" t="str">
        <x:v>1053</x:v>
      </x:c>
      <x:c r="B45" s="23" t="str">
        <x:v>Allowance for advance for laptops</x:v>
      </x:c>
      <x:c r="C45" s="23" t="str">
        <x:v>P&amp;L</x:v>
      </x:c>
      <x:c r="D45" s="23" t="str">
        <x:v>Expenses</x:v>
      </x:c>
      <x:c r="E45" s="30" t="n">
        <x:f>IFERROR(SUMIF('Opening Balances'!$A$3:$A$64,A45,'Opening Balances'!$D$3:$D$64),0)</x:f>
        <x:v>0</x:v>
      </x:c>
      <x:c r="F45" s="30" t="n">
        <x:f>IFERROR(SUMIF('Opening Balances'!$A$3:$A$64,A45,'Opening Balances'!$E$3:$E$64),0)</x:f>
        <x:v>0</x:v>
      </x:c>
      <x:c r="G45" s="30" t="n">
        <x:f>IFERROR(SUMIF('Journal Entries'!$F$3:$F$84,A45,'Journal Entries'!$H$3:$H$84),0)</x:f>
        <x:v>0</x:v>
      </x:c>
      <x:c r="H45" s="30" t="n">
        <x:f>IFERROR(SUMIF('Journal Entries'!$F$3:$F$84,A45,'Journal Entries'!$I$3:$I$84),0)</x:f>
        <x:v>0</x:v>
      </x:c>
      <x:c r="I45" s="30" t="n">
        <x:f>MAX(E45+G45-F45-H45,0)</x:f>
        <x:v>0</x:v>
      </x:c>
      <x:c r="J45" s="51" t="n">
        <x:f>MAX(F45+H45-E45-G45,0)</x:f>
        <x:v>0</x:v>
      </x:c>
    </x:row>
    <x:row r="46">
      <x:c r="A46" s="22" t="str">
        <x:v>1054</x:v>
      </x:c>
      <x:c r="B46" s="23" t="str">
        <x:v>Trucker's Commission</x:v>
      </x:c>
      <x:c r="C46" s="23" t="str">
        <x:v>P&amp;L</x:v>
      </x:c>
      <x:c r="D46" s="23" t="str">
        <x:v>Revenue</x:v>
      </x:c>
      <x:c r="E46" s="30" t="n">
        <x:f>IFERROR(SUMIF('Opening Balances'!$A$3:$A$64,A46,'Opening Balances'!$D$3:$D$64),0)</x:f>
        <x:v>0</x:v>
      </x:c>
      <x:c r="F46" s="30" t="n">
        <x:f>IFERROR(SUMIF('Opening Balances'!$A$3:$A$64,A46,'Opening Balances'!$E$3:$E$64),0)</x:f>
        <x:v>0</x:v>
      </x:c>
      <x:c r="G46" s="30" t="n">
        <x:f>IFERROR(SUMIF('Journal Entries'!$F$3:$F$84,A46,'Journal Entries'!$H$3:$H$84),0)</x:f>
        <x:v>640000</x:v>
      </x:c>
      <x:c r="H46" s="30" t="n">
        <x:f>IFERROR(SUMIF('Journal Entries'!$F$3:$F$84,A46,'Journal Entries'!$I$3:$I$84),0)</x:f>
        <x:v>0</x:v>
      </x:c>
      <x:c r="I46" s="30" t="n">
        <x:f>MAX(E46+G46-F46-H46,0)</x:f>
        <x:v>640000</x:v>
      </x:c>
      <x:c r="J46" s="51" t="n">
        <x:f>MAX(F46+H46-E46-G46,0)</x:f>
        <x:v>0</x:v>
      </x:c>
    </x:row>
    <x:row r="47">
      <x:c r="A47" s="22" t="str">
        <x:v>1055</x:v>
      </x:c>
      <x:c r="B47" s="23" t="str">
        <x:v>Trucker's Cost - Fuel</x:v>
      </x:c>
      <x:c r="C47" s="23" t="str">
        <x:v>P&amp;L</x:v>
      </x:c>
      <x:c r="D47" s="23" t="str">
        <x:v>Revenue</x:v>
      </x:c>
      <x:c r="E47" s="30" t="n">
        <x:f>IFERROR(SUMIF('Opening Balances'!$A$3:$A$64,A47,'Opening Balances'!$D$3:$D$64),0)</x:f>
        <x:v>0</x:v>
      </x:c>
      <x:c r="F47" s="30" t="n">
        <x:f>IFERROR(SUMIF('Opening Balances'!$A$3:$A$64,A47,'Opening Balances'!$E$3:$E$64),0)</x:f>
        <x:v>0</x:v>
      </x:c>
      <x:c r="G47" s="30" t="n">
        <x:f>IFERROR(SUMIF('Journal Entries'!$F$3:$F$84,A47,'Journal Entries'!$H$3:$H$84),0)</x:f>
        <x:v>0</x:v>
      </x:c>
      <x:c r="H47" s="30" t="n">
        <x:f>IFERROR(SUMIF('Journal Entries'!$F$3:$F$84,A47,'Journal Entries'!$I$3:$I$84),0)</x:f>
        <x:v>0</x:v>
      </x:c>
      <x:c r="I47" s="30" t="n">
        <x:f>MAX(E47+G47-F47-H47,0)</x:f>
        <x:v>0</x:v>
      </x:c>
      <x:c r="J47" s="51" t="n">
        <x:f>MAX(F47+H47-E47-G47,0)</x:f>
        <x:v>0</x:v>
      </x:c>
    </x:row>
    <x:row r="48">
      <x:c r="A48" s="22" t="str">
        <x:v>1056</x:v>
      </x:c>
      <x:c r="B48" s="23" t="str">
        <x:v>SALARIES &amp; WAGES</x:v>
      </x:c>
      <x:c r="C48" s="23" t="str">
        <x:v>P&amp;L</x:v>
      </x:c>
      <x:c r="D48" s="23" t="str">
        <x:v>Expenses</x:v>
      </x:c>
      <x:c r="E48" s="30" t="n">
        <x:f>IFERROR(SUMIF('Opening Balances'!$A$3:$A$64,A48,'Opening Balances'!$D$3:$D$64),0)</x:f>
        <x:v>0</x:v>
      </x:c>
      <x:c r="F48" s="30" t="n">
        <x:f>IFERROR(SUMIF('Opening Balances'!$A$3:$A$64,A48,'Opening Balances'!$E$3:$E$64),0)</x:f>
        <x:v>0</x:v>
      </x:c>
      <x:c r="G48" s="30" t="n">
        <x:f>IFERROR(SUMIF('Journal Entries'!$F$3:$F$84,A48,'Journal Entries'!$H$3:$H$84),0)</x:f>
        <x:v>340000</x:v>
      </x:c>
      <x:c r="H48" s="30" t="n">
        <x:f>IFERROR(SUMIF('Journal Entries'!$F$3:$F$84,A48,'Journal Entries'!$I$3:$I$84),0)</x:f>
        <x:v>0</x:v>
      </x:c>
      <x:c r="I48" s="30" t="n">
        <x:f>MAX(E48+G48-F48-H48,0)</x:f>
        <x:v>340000</x:v>
      </x:c>
      <x:c r="J48" s="51" t="n">
        <x:f>MAX(F48+H48-E48-G48,0)</x:f>
        <x:v>0</x:v>
      </x:c>
    </x:row>
    <x:row r="49">
      <x:c r="A49" s="22" t="str">
        <x:v>1057</x:v>
      </x:c>
      <x:c r="B49" s="23" t="str">
        <x:v>Bank Charges</x:v>
      </x:c>
      <x:c r="C49" s="23" t="str">
        <x:v>P&amp;L</x:v>
      </x:c>
      <x:c r="D49" s="23" t="str">
        <x:v>Expenses</x:v>
      </x:c>
      <x:c r="E49" s="30" t="n">
        <x:f>IFERROR(SUMIF('Opening Balances'!$A$3:$A$64,A49,'Opening Balances'!$D$3:$D$64),0)</x:f>
        <x:v>0</x:v>
      </x:c>
      <x:c r="F49" s="30" t="n">
        <x:f>IFERROR(SUMIF('Opening Balances'!$A$3:$A$64,A49,'Opening Balances'!$E$3:$E$64),0)</x:f>
        <x:v>0</x:v>
      </x:c>
      <x:c r="G49" s="30" t="n">
        <x:f>IFERROR(SUMIF('Journal Entries'!$F$3:$F$84,A49,'Journal Entries'!$H$3:$H$84),0)</x:f>
        <x:v>16000</x:v>
      </x:c>
      <x:c r="H49" s="30" t="n">
        <x:f>IFERROR(SUMIF('Journal Entries'!$F$3:$F$84,A49,'Journal Entries'!$I$3:$I$84),0)</x:f>
        <x:v>0</x:v>
      </x:c>
      <x:c r="I49" s="30" t="n">
        <x:f>MAX(E49+G49-F49-H49,0)</x:f>
        <x:v>16000</x:v>
      </x:c>
      <x:c r="J49" s="51" t="n">
        <x:f>MAX(F49+H49-E49-G49,0)</x:f>
        <x:v>0</x:v>
      </x:c>
    </x:row>
    <x:row r="50">
      <x:c r="A50" s="22" t="str">
        <x:v>1058</x:v>
      </x:c>
      <x:c r="B50" s="23" t="str">
        <x:v>Rent and utilities</x:v>
      </x:c>
      <x:c r="C50" s="23" t="str">
        <x:v>P&amp;L</x:v>
      </x:c>
      <x:c r="D50" s="23" t="str">
        <x:v>Expenses</x:v>
      </x:c>
      <x:c r="E50" s="30" t="n">
        <x:f>IFERROR(SUMIF('Opening Balances'!$A$3:$A$64,A50,'Opening Balances'!$D$3:$D$64),0)</x:f>
        <x:v>0</x:v>
      </x:c>
      <x:c r="F50" s="30" t="n">
        <x:f>IFERROR(SUMIF('Opening Balances'!$A$3:$A$64,A50,'Opening Balances'!$E$3:$E$64),0)</x:f>
        <x:v>0</x:v>
      </x:c>
      <x:c r="G50" s="30" t="n">
        <x:f>IFERROR(SUMIF('Journal Entries'!$F$3:$F$84,A50,'Journal Entries'!$H$3:$H$84),0)</x:f>
        <x:v>90000</x:v>
      </x:c>
      <x:c r="H50" s="30" t="n">
        <x:f>IFERROR(SUMIF('Journal Entries'!$F$3:$F$84,A50,'Journal Entries'!$I$3:$I$84),0)</x:f>
        <x:v>0</x:v>
      </x:c>
      <x:c r="I50" s="30" t="n">
        <x:f>MAX(E50+G50-F50-H50,0)</x:f>
        <x:v>90000</x:v>
      </x:c>
      <x:c r="J50" s="51" t="n">
        <x:f>MAX(F50+H50-E50-G50,0)</x:f>
        <x:v>0</x:v>
      </x:c>
    </x:row>
    <x:row r="51">
      <x:c r="A51" s="22" t="str">
        <x:v>1059</x:v>
      </x:c>
      <x:c r="B51" s="23" t="str">
        <x:v>Travel and entertainment</x:v>
      </x:c>
      <x:c r="C51" s="23" t="str">
        <x:v>P&amp;L</x:v>
      </x:c>
      <x:c r="D51" s="23" t="str">
        <x:v>Expenses</x:v>
      </x:c>
      <x:c r="E51" s="30" t="n">
        <x:f>IFERROR(SUMIF('Opening Balances'!$A$3:$A$64,A51,'Opening Balances'!$D$3:$D$64),0)</x:f>
        <x:v>0</x:v>
      </x:c>
      <x:c r="F51" s="30" t="n">
        <x:f>IFERROR(SUMIF('Opening Balances'!$A$3:$A$64,A51,'Opening Balances'!$E$3:$E$64),0)</x:f>
        <x:v>0</x:v>
      </x:c>
      <x:c r="G51" s="30" t="n">
        <x:f>IFERROR(SUMIF('Journal Entries'!$F$3:$F$84,A51,'Journal Entries'!$H$3:$H$84),0)</x:f>
        <x:v>40000</x:v>
      </x:c>
      <x:c r="H51" s="30" t="n">
        <x:f>IFERROR(SUMIF('Journal Entries'!$F$3:$F$84,A51,'Journal Entries'!$I$3:$I$84),0)</x:f>
        <x:v>0</x:v>
      </x:c>
      <x:c r="I51" s="30" t="n">
        <x:f>MAX(E51+G51-F51-H51,0)</x:f>
        <x:v>40000</x:v>
      </x:c>
      <x:c r="J51" s="51" t="n">
        <x:f>MAX(F51+H51-E51-G51,0)</x:f>
        <x:v>0</x:v>
      </x:c>
    </x:row>
    <x:row r="52">
      <x:c r="A52" s="22" t="str">
        <x:v>1060</x:v>
      </x:c>
      <x:c r="B52" s="23" t="str">
        <x:v>LEGAL &amp; PROFESSIONAL FEE</x:v>
      </x:c>
      <x:c r="C52" s="23" t="str">
        <x:v>P&amp;L</x:v>
      </x:c>
      <x:c r="D52" s="23" t="str">
        <x:v>Expenses</x:v>
      </x:c>
      <x:c r="E52" s="30" t="n">
        <x:f>IFERROR(SUMIF('Opening Balances'!$A$3:$A$64,A52,'Opening Balances'!$D$3:$D$64),0)</x:f>
        <x:v>0</x:v>
      </x:c>
      <x:c r="F52" s="30" t="n">
        <x:f>IFERROR(SUMIF('Opening Balances'!$A$3:$A$64,A52,'Opening Balances'!$E$3:$E$64),0)</x:f>
        <x:v>0</x:v>
      </x:c>
      <x:c r="G52" s="30" t="n">
        <x:f>IFERROR(SUMIF('Journal Entries'!$F$3:$F$84,A52,'Journal Entries'!$H$3:$H$84),0)</x:f>
        <x:v>95000</x:v>
      </x:c>
      <x:c r="H52" s="30" t="n">
        <x:f>IFERROR(SUMIF('Journal Entries'!$F$3:$F$84,A52,'Journal Entries'!$I$3:$I$84),0)</x:f>
        <x:v>0</x:v>
      </x:c>
      <x:c r="I52" s="30" t="n">
        <x:f>MAX(E52+G52-F52-H52,0)</x:f>
        <x:v>95000</x:v>
      </x:c>
      <x:c r="J52" s="51" t="n">
        <x:f>MAX(F52+H52-E52-G52,0)</x:f>
        <x:v>0</x:v>
      </x:c>
    </x:row>
    <x:row r="53">
      <x:c r="A53" s="22" t="str">
        <x:v>1061</x:v>
      </x:c>
      <x:c r="B53" s="23" t="str">
        <x:v>Offline marketing and channel</x:v>
      </x:c>
      <x:c r="C53" s="23" t="str">
        <x:v>P&amp;L</x:v>
      </x:c>
      <x:c r="D53" s="23" t="str">
        <x:v>Expenses</x:v>
      </x:c>
      <x:c r="E53" s="30" t="n">
        <x:f>IFERROR(SUMIF('Opening Balances'!$A$3:$A$64,A53,'Opening Balances'!$D$3:$D$64),0)</x:f>
        <x:v>0</x:v>
      </x:c>
      <x:c r="F53" s="30" t="n">
        <x:f>IFERROR(SUMIF('Opening Balances'!$A$3:$A$64,A53,'Opening Balances'!$E$3:$E$64),0)</x:f>
        <x:v>0</x:v>
      </x:c>
      <x:c r="G53" s="30" t="n">
        <x:f>IFERROR(SUMIF('Journal Entries'!$F$3:$F$84,A53,'Journal Entries'!$H$3:$H$84),0)</x:f>
        <x:v>110000</x:v>
      </x:c>
      <x:c r="H53" s="30" t="n">
        <x:f>IFERROR(SUMIF('Journal Entries'!$F$3:$F$84,A53,'Journal Entries'!$I$3:$I$84),0)</x:f>
        <x:v>0</x:v>
      </x:c>
      <x:c r="I53" s="30" t="n">
        <x:f>MAX(E53+G53-F53-H53,0)</x:f>
        <x:v>110000</x:v>
      </x:c>
      <x:c r="J53" s="51" t="n">
        <x:f>MAX(F53+H53-E53-G53,0)</x:f>
        <x:v>0</x:v>
      </x:c>
    </x:row>
    <x:row r="54">
      <x:c r="A54" s="22" t="str">
        <x:v>1062</x:v>
      </x:c>
      <x:c r="B54" s="23" t="str">
        <x:v>Call center</x:v>
      </x:c>
      <x:c r="C54" s="23" t="str">
        <x:v>P&amp;L</x:v>
      </x:c>
      <x:c r="D54" s="23" t="str">
        <x:v>Expenses</x:v>
      </x:c>
      <x:c r="E54" s="30" t="n">
        <x:f>IFERROR(SUMIF('Opening Balances'!$A$3:$A$64,A54,'Opening Balances'!$D$3:$D$64),0)</x:f>
        <x:v>0</x:v>
      </x:c>
      <x:c r="F54" s="30" t="n">
        <x:f>IFERROR(SUMIF('Opening Balances'!$A$3:$A$64,A54,'Opening Balances'!$E$3:$E$64),0)</x:f>
        <x:v>0</x:v>
      </x:c>
      <x:c r="G54" s="30" t="n">
        <x:f>IFERROR(SUMIF('Journal Entries'!$F$3:$F$84,A54,'Journal Entries'!$H$3:$H$84),0)</x:f>
        <x:v>0</x:v>
      </x:c>
      <x:c r="H54" s="30" t="n">
        <x:f>IFERROR(SUMIF('Journal Entries'!$F$3:$F$84,A54,'Journal Entries'!$I$3:$I$84),0)</x:f>
        <x:v>0</x:v>
      </x:c>
      <x:c r="I54" s="30" t="n">
        <x:f>MAX(E54+G54-F54-H54,0)</x:f>
        <x:v>0</x:v>
      </x:c>
      <x:c r="J54" s="51" t="n">
        <x:f>MAX(F54+H54-E54-G54,0)</x:f>
        <x:v>0</x:v>
      </x:c>
    </x:row>
    <x:row r="55">
      <x:c r="A55" s="22" t="str">
        <x:v>1063</x:v>
      </x:c>
      <x:c r="B55" s="23" t="str">
        <x:v>Auditors remuneration</x:v>
      </x:c>
      <x:c r="C55" s="23" t="str">
        <x:v>P&amp;L</x:v>
      </x:c>
      <x:c r="D55" s="23" t="str">
        <x:v>Expenses</x:v>
      </x:c>
      <x:c r="E55" s="30" t="n">
        <x:f>IFERROR(SUMIF('Opening Balances'!$A$3:$A$64,A55,'Opening Balances'!$D$3:$D$64),0)</x:f>
        <x:v>0</x:v>
      </x:c>
      <x:c r="F55" s="30" t="n">
        <x:f>IFERROR(SUMIF('Opening Balances'!$A$3:$A$64,A55,'Opening Balances'!$E$3:$E$64),0)</x:f>
        <x:v>0</x:v>
      </x:c>
      <x:c r="G55" s="30" t="n">
        <x:f>IFERROR(SUMIF('Journal Entries'!$F$3:$F$84,A55,'Journal Entries'!$H$3:$H$84),0)</x:f>
        <x:v>0</x:v>
      </x:c>
      <x:c r="H55" s="30" t="n">
        <x:f>IFERROR(SUMIF('Journal Entries'!$F$3:$F$84,A55,'Journal Entries'!$I$3:$I$84),0)</x:f>
        <x:v>0</x:v>
      </x:c>
      <x:c r="I55" s="30" t="n">
        <x:f>MAX(E55+G55-F55-H55,0)</x:f>
        <x:v>0</x:v>
      </x:c>
      <x:c r="J55" s="51" t="n">
        <x:f>MAX(F55+H55-E55-G55,0)</x:f>
        <x:v>0</x:v>
      </x:c>
    </x:row>
    <x:row r="56">
      <x:c r="A56" s="22" t="str">
        <x:v>1064</x:v>
      </x:c>
      <x:c r="B56" s="23" t="str">
        <x:v>Depreciation</x:v>
      </x:c>
      <x:c r="C56" s="23" t="str">
        <x:v>P&amp;L</x:v>
      </x:c>
      <x:c r="D56" s="23" t="str">
        <x:v>Expenses</x:v>
      </x:c>
      <x:c r="E56" s="30" t="n">
        <x:f>IFERROR(SUMIF('Opening Balances'!$A$3:$A$64,A56,'Opening Balances'!$D$3:$D$64),0)</x:f>
        <x:v>0</x:v>
      </x:c>
      <x:c r="F56" s="30" t="n">
        <x:f>IFERROR(SUMIF('Opening Balances'!$A$3:$A$64,A56,'Opening Balances'!$E$3:$E$64),0)</x:f>
        <x:v>0</x:v>
      </x:c>
      <x:c r="G56" s="30" t="n">
        <x:f>IFERROR(SUMIF('Journal Entries'!$F$3:$F$84,A56,'Journal Entries'!$H$3:$H$84),0)</x:f>
        <x:v>50000</x:v>
      </x:c>
      <x:c r="H56" s="30" t="n">
        <x:f>IFERROR(SUMIF('Journal Entries'!$F$3:$F$84,A56,'Journal Entries'!$I$3:$I$84),0)</x:f>
        <x:v>0</x:v>
      </x:c>
      <x:c r="I56" s="30" t="n">
        <x:f>MAX(E56+G56-F56-H56,0)</x:f>
        <x:v>50000</x:v>
      </x:c>
      <x:c r="J56" s="51" t="n">
        <x:f>MAX(F56+H56-E56-G56,0)</x:f>
        <x:v>0</x:v>
      </x:c>
    </x:row>
    <x:row r="57">
      <x:c r="A57" s="22" t="str">
        <x:v>1065</x:v>
      </x:c>
      <x:c r="B57" s="23" t="str">
        <x:v>Other Income</x:v>
      </x:c>
      <x:c r="C57" s="23" t="str">
        <x:v>P&amp;L</x:v>
      </x:c>
      <x:c r="D57" s="23" t="str">
        <x:v>Income</x:v>
      </x:c>
      <x:c r="E57" s="30" t="n">
        <x:f>IFERROR(SUMIF('Opening Balances'!$A$3:$A$64,A57,'Opening Balances'!$D$3:$D$64),0)</x:f>
        <x:v>0</x:v>
      </x:c>
      <x:c r="F57" s="30" t="n">
        <x:f>IFERROR(SUMIF('Opening Balances'!$A$3:$A$64,A57,'Opening Balances'!$E$3:$E$64),0)</x:f>
        <x:v>0</x:v>
      </x:c>
      <x:c r="G57" s="30" t="n">
        <x:f>IFERROR(SUMIF('Journal Entries'!$F$3:$F$84,A57,'Journal Entries'!$H$3:$H$84),0)</x:f>
        <x:v>0</x:v>
      </x:c>
      <x:c r="H57" s="30" t="n">
        <x:f>IFERROR(SUMIF('Journal Entries'!$F$3:$F$84,A57,'Journal Entries'!$I$3:$I$84),0)</x:f>
        <x:v>0</x:v>
      </x:c>
      <x:c r="I57" s="30" t="n">
        <x:f>MAX(E57+G57-F57-H57,0)</x:f>
        <x:v>0</x:v>
      </x:c>
      <x:c r="J57" s="51" t="n">
        <x:f>MAX(F57+H57-E57-G57,0)</x:f>
        <x:v>0</x:v>
      </x:c>
    </x:row>
    <x:row r="58">
      <x:c r="A58" s="22" t="str">
        <x:v>1066</x:v>
      </x:c>
      <x:c r="B58" s="23" t="str">
        <x:v>Profit on PLS</x:v>
      </x:c>
      <x:c r="C58" s="23" t="str">
        <x:v>P&amp;L</x:v>
      </x:c>
      <x:c r="D58" s="23" t="str">
        <x:v>Income</x:v>
      </x:c>
      <x:c r="E58" s="30" t="n">
        <x:f>IFERROR(SUMIF('Opening Balances'!$A$3:$A$64,A58,'Opening Balances'!$D$3:$D$64),0)</x:f>
        <x:v>0</x:v>
      </x:c>
      <x:c r="F58" s="30" t="n">
        <x:f>IFERROR(SUMIF('Opening Balances'!$A$3:$A$64,A58,'Opening Balances'!$E$3:$E$64),0)</x:f>
        <x:v>0</x:v>
      </x:c>
      <x:c r="G58" s="30" t="n">
        <x:f>IFERROR(SUMIF('Journal Entries'!$F$3:$F$84,A58,'Journal Entries'!$H$3:$H$84),0)</x:f>
        <x:v>0</x:v>
      </x:c>
      <x:c r="H58" s="30" t="n">
        <x:f>IFERROR(SUMIF('Journal Entries'!$F$3:$F$84,A58,'Journal Entries'!$I$3:$I$84),0)</x:f>
        <x:v>14000</x:v>
      </x:c>
      <x:c r="I58" s="30" t="n">
        <x:f>MAX(E58+G58-F58-H58,0)</x:f>
        <x:v>0</x:v>
      </x:c>
      <x:c r="J58" s="51" t="n">
        <x:f>MAX(F58+H58-E58-G58,0)</x:f>
        <x:v>14000</x:v>
      </x:c>
    </x:row>
    <x:row r="59">
      <x:c r="A59" s="22" t="str">
        <x:v>1067</x:v>
      </x:c>
      <x:c r="B59" s="23" t="str">
        <x:v>Amortization</x:v>
      </x:c>
      <x:c r="C59" s="23" t="str">
        <x:v>P&amp;L</x:v>
      </x:c>
      <x:c r="D59" s="23" t="str">
        <x:v>Expenses</x:v>
      </x:c>
      <x:c r="E59" s="30" t="n">
        <x:f>IFERROR(SUMIF('Opening Balances'!$A$3:$A$64,A59,'Opening Balances'!$D$3:$D$64),0)</x:f>
        <x:v>0</x:v>
      </x:c>
      <x:c r="F59" s="30" t="n">
        <x:f>IFERROR(SUMIF('Opening Balances'!$A$3:$A$64,A59,'Opening Balances'!$E$3:$E$64),0)</x:f>
        <x:v>0</x:v>
      </x:c>
      <x:c r="G59" s="30" t="n">
        <x:f>IFERROR(SUMIF('Journal Entries'!$F$3:$F$84,A59,'Journal Entries'!$H$3:$H$84),0)</x:f>
        <x:v>0</x:v>
      </x:c>
      <x:c r="H59" s="30" t="n">
        <x:f>IFERROR(SUMIF('Journal Entries'!$F$3:$F$84,A59,'Journal Entries'!$I$3:$I$84),0)</x:f>
        <x:v>0</x:v>
      </x:c>
      <x:c r="I59" s="30" t="n">
        <x:f>MAX(E59+G59-F59-H59,0)</x:f>
        <x:v>0</x:v>
      </x:c>
      <x:c r="J59" s="51" t="n">
        <x:f>MAX(F59+H59-E59-G59,0)</x:f>
        <x:v>0</x:v>
      </x:c>
    </x:row>
    <x:row r="60">
      <x:c r="A60" s="22" t="str">
        <x:v>1068</x:v>
      </x:c>
      <x:c r="B60" s="23" t="str">
        <x:v>Other Expenses</x:v>
      </x:c>
      <x:c r="C60" s="23" t="str">
        <x:v>P&amp;L</x:v>
      </x:c>
      <x:c r="D60" s="23" t="str">
        <x:v>Expenses</x:v>
      </x:c>
      <x:c r="E60" s="30" t="n">
        <x:f>IFERROR(SUMIF('Opening Balances'!$A$3:$A$64,A60,'Opening Balances'!$D$3:$D$64),0)</x:f>
        <x:v>0</x:v>
      </x:c>
      <x:c r="F60" s="30" t="n">
        <x:f>IFERROR(SUMIF('Opening Balances'!$A$3:$A$64,A60,'Opening Balances'!$E$3:$E$64),0)</x:f>
        <x:v>0</x:v>
      </x:c>
      <x:c r="G60" s="30" t="n">
        <x:f>IFERROR(SUMIF('Journal Entries'!$F$3:$F$84,A60,'Journal Entries'!$H$3:$H$84),0)</x:f>
        <x:v>205000</x:v>
      </x:c>
      <x:c r="H60" s="30" t="n">
        <x:f>IFERROR(SUMIF('Journal Entries'!$F$3:$F$84,A60,'Journal Entries'!$I$3:$I$84),0)</x:f>
        <x:v>0</x:v>
      </x:c>
      <x:c r="I60" s="30" t="n">
        <x:f>MAX(E60+G60-F60-H60,0)</x:f>
        <x:v>205000</x:v>
      </x:c>
      <x:c r="J60" s="51" t="n">
        <x:f>MAX(F60+H60-E60-G60,0)</x:f>
        <x:v>0</x:v>
      </x:c>
    </x:row>
    <x:row r="61">
      <x:c r="A61" s="22" t="str">
        <x:v>1069</x:v>
      </x:c>
      <x:c r="B61" s="23" t="str">
        <x:v>Bank Charges</x:v>
      </x:c>
      <x:c r="C61" s="23" t="str">
        <x:v>P&amp;L</x:v>
      </x:c>
      <x:c r="D61" s="23" t="str">
        <x:v>Expenses</x:v>
      </x:c>
      <x:c r="E61" s="30" t="n">
        <x:f>IFERROR(SUMIF('Opening Balances'!$A$3:$A$64,A61,'Opening Balances'!$D$3:$D$64),0)</x:f>
        <x:v>0</x:v>
      </x:c>
      <x:c r="F61" s="30" t="n">
        <x:f>IFERROR(SUMIF('Opening Balances'!$A$3:$A$64,A61,'Opening Balances'!$E$3:$E$64),0)</x:f>
        <x:v>0</x:v>
      </x:c>
      <x:c r="G61" s="30" t="n">
        <x:f>IFERROR(SUMIF('Journal Entries'!$F$3:$F$84,A61,'Journal Entries'!$H$3:$H$84),0)</x:f>
        <x:v>0</x:v>
      </x:c>
      <x:c r="H61" s="30" t="n">
        <x:f>IFERROR(SUMIF('Journal Entries'!$F$3:$F$84,A61,'Journal Entries'!$I$3:$I$84),0)</x:f>
        <x:v>0</x:v>
      </x:c>
      <x:c r="I61" s="30" t="n">
        <x:f>MAX(E61+G61-F61-H61,0)</x:f>
        <x:v>0</x:v>
      </x:c>
      <x:c r="J61" s="51" t="n">
        <x:f>MAX(F61+H61-E61-G61,0)</x:f>
        <x:v>0</x:v>
      </x:c>
    </x:row>
    <x:row r="62">
      <x:c r="A62" s="22" t="str">
        <x:v>new code 2</x:v>
      </x:c>
      <x:c r="B62" s="23" t="str">
        <x:v>Loss on disposal</x:v>
      </x:c>
      <x:c r="C62" s="23" t="str">
        <x:v>P&amp;L</x:v>
      </x:c>
      <x:c r="D62" s="23" t="str">
        <x:v>Expenses</x:v>
      </x:c>
      <x:c r="E62" s="30" t="n">
        <x:f>IFERROR(SUMIF('Opening Balances'!$A$3:$A$64,A62,'Opening Balances'!$D$3:$D$64),0)</x:f>
        <x:v>0</x:v>
      </x:c>
      <x:c r="F62" s="30" t="n">
        <x:f>IFERROR(SUMIF('Opening Balances'!$A$3:$A$64,A62,'Opening Balances'!$E$3:$E$64),0)</x:f>
        <x:v>0</x:v>
      </x:c>
      <x:c r="G62" s="30" t="n">
        <x:f>IFERROR(SUMIF('Journal Entries'!$F$3:$F$84,A62,'Journal Entries'!$H$3:$H$84),0)</x:f>
        <x:v>0</x:v>
      </x:c>
      <x:c r="H62" s="30" t="n">
        <x:f>IFERROR(SUMIF('Journal Entries'!$F$3:$F$84,A62,'Journal Entries'!$I$3:$I$84),0)</x:f>
        <x:v>0</x:v>
      </x:c>
      <x:c r="I62" s="30" t="n">
        <x:f>MAX(E62+G62-F62-H62,0)</x:f>
        <x:v>0</x:v>
      </x:c>
      <x:c r="J62" s="51" t="n">
        <x:f>MAX(F62+H62-E62-G62,0)</x:f>
        <x:v>0</x:v>
      </x:c>
    </x:row>
    <x:row r="63">
      <x:c r="A63" s="22" t="str">
        <x:v>New code 1</x:v>
      </x:c>
      <x:c r="B63" s="23" t="str">
        <x:v>A Rec written off</x:v>
      </x:c>
      <x:c r="C63" s="23" t="str">
        <x:v>P&amp;L</x:v>
      </x:c>
      <x:c r="D63" s="23" t="str">
        <x:v>Assets</x:v>
      </x:c>
      <x:c r="E63" s="30" t="n">
        <x:f>IFERROR(SUMIF('Opening Balances'!$A$3:$A$64,A63,'Opening Balances'!$D$3:$D$64),0)</x:f>
        <x:v>0</x:v>
      </x:c>
      <x:c r="F63" s="30" t="n">
        <x:f>IFERROR(SUMIF('Opening Balances'!$A$3:$A$64,A63,'Opening Balances'!$E$3:$E$64),0)</x:f>
        <x:v>0</x:v>
      </x:c>
      <x:c r="G63" s="30" t="n">
        <x:f>IFERROR(SUMIF('Journal Entries'!$F$3:$F$84,A63,'Journal Entries'!$H$3:$H$84),0)</x:f>
        <x:v>0</x:v>
      </x:c>
      <x:c r="H63" s="30" t="n">
        <x:f>IFERROR(SUMIF('Journal Entries'!$F$3:$F$84,A63,'Journal Entries'!$I$3:$I$84),0)</x:f>
        <x:v>0</x:v>
      </x:c>
      <x:c r="I63" s="30" t="n">
        <x:f>MAX(E63+G63-F63-H63,0)</x:f>
        <x:v>0</x:v>
      </x:c>
      <x:c r="J63" s="51" t="n">
        <x:f>MAX(F63+H63-E63-G63,0)</x:f>
        <x:v>0</x:v>
      </x:c>
    </x:row>
    <x:row r="64">
      <x:c r="A64" s="25" t="str">
        <x:v>New code 3</x:v>
      </x:c>
      <x:c r="B64" s="26" t="str">
        <x:v>Final tax levy</x:v>
      </x:c>
      <x:c r="C64" s="26" t="str">
        <x:v>P&amp;L</x:v>
      </x:c>
      <x:c r="D64" s="26" t="str">
        <x:v>Expenses</x:v>
      </x:c>
      <x:c r="E64" s="31" t="n">
        <x:f>IFERROR(SUMIF('Opening Balances'!$A$3:$A$64,A64,'Opening Balances'!$D$3:$D$64),0)</x:f>
        <x:v>0</x:v>
      </x:c>
      <x:c r="F64" s="31" t="n">
        <x:f>IFERROR(SUMIF('Opening Balances'!$A$3:$A$64,A64,'Opening Balances'!$E$3:$E$64),0)</x:f>
        <x:v>0</x:v>
      </x:c>
      <x:c r="G64" s="31" t="n">
        <x:f>IFERROR(SUMIF('Journal Entries'!$F$3:$F$84,A64,'Journal Entries'!$H$3:$H$84),0)</x:f>
        <x:v>0</x:v>
      </x:c>
      <x:c r="H64" s="31" t="n">
        <x:f>IFERROR(SUMIF('Journal Entries'!$F$3:$F$84,A64,'Journal Entries'!$I$3:$I$84),0)</x:f>
        <x:v>0</x:v>
      </x:c>
      <x:c r="I64" s="31" t="n">
        <x:f>MAX(E64+G64-F64-H64,0)</x:f>
        <x:v>0</x:v>
      </x:c>
      <x:c r="J64" s="52" t="n">
        <x:f>MAX(F64+H64-E64-G64,0)</x:f>
        <x:v>0</x:v>
      </x:c>
    </x:row>
    <x:row r="65">
      <x:c r="A65" s="50"/>
      <x:c r="B65" s="50"/>
      <x:c r="C65" s="50"/>
      <x:c r="D65" s="50" t="str">
        <x:v>Total</x:v>
      </x:c>
      <x:c r="E65" s="53" t="n">
        <x:f>SUM(E3:E64)</x:f>
        <x:v>7425000</x:v>
      </x:c>
      <x:c r="F65" s="53" t="n">
        <x:f>SUM(F3:F64)</x:f>
        <x:v>7425000</x:v>
      </x:c>
      <x:c r="G65" s="53" t="n">
        <x:f>SUM(G3:G64)</x:f>
        <x:v>7539000</x:v>
      </x:c>
      <x:c r="H65" s="53" t="n">
        <x:f>SUM(H3:H64)</x:f>
        <x:v>7539000</x:v>
      </x:c>
      <x:c r="I65" s="53" t="n">
        <x:f>SUM(I3:I64)</x:f>
        <x:v>10522000</x:v>
      </x:c>
      <x:c r="J65" s="53" t="n">
        <x:f>SUM(J3:J64)</x:f>
        <x:v>10522000</x:v>
      </x:c>
    </x:row>
  </x:sheetData>
  <x:mergeCells>
    <x:mergeCell ref="A1:J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18" hidden="0" customWidth="1"/>
    <x:col min="5" max="5" width="22" hidden="0" customWidth="1"/>
  </x:cols>
  <x:sheetData>
    <x:row r="1" ht="26" customHeight="1">
      <x:c r="A1" s="3" t="str">
        <x:v>Balance Sheet — 31 July 2025</x:v>
      </x:c>
    </x:row>
    <x:row r="2">
      <x:c r="A2" s="19" t="str">
        <x:v>GL Code</x:v>
      </x:c>
      <x:c r="B2" s="20" t="str">
        <x:v>Account</x:v>
      </x:c>
      <x:c r="C2" s="20" t="str">
        <x:v>Reporting Classification</x:v>
      </x:c>
      <x:c r="D2" s="20" t="str">
        <x:v>Amount (PKR)</x:v>
      </x:c>
      <x:c r="E2" s="21" t="str">
        <x:v>Source Classification</x:v>
      </x:c>
    </x:row>
    <x:row r="3">
      <x:c r="A3" s="22" t="str">
        <x:v>1011</x:v>
      </x:c>
      <x:c r="B3" s="23" t="str">
        <x:v>Furniture and fixture</x:v>
      </x:c>
      <x:c r="C3" s="23" t="str">
        <x:v>Assets</x:v>
      </x:c>
      <x:c r="D3" s="30" t="n">
        <x:f>IF(C3="Assets",SUMIF('Trial Balance'!$A$3:$A$64,A3,'Trial Balance'!$I$3:$I$64)-SUMIF('Trial Balance'!$A$3:$A$64,A3,'Trial Balance'!$J$3:$J$64),SUMIF('Trial Balance'!$A$3:$A$64,A3,'Trial Balance'!$J$3:$J$64)-SUMIF('Trial Balance'!$A$3:$A$64,A3,'Trial Balance'!$I$3:$I$64))</x:f>
        <x:v>100000</x:v>
      </x:c>
      <x:c r="E3" s="24" t="str">
        <x:v>Assets</x:v>
      </x:c>
    </x:row>
    <x:row r="4">
      <x:c r="A4" s="22" t="str">
        <x:v>1012</x:v>
      </x:c>
      <x:c r="B4" s="23" t="str">
        <x:v>Leasehold building</x:v>
      </x:c>
      <x:c r="C4" s="23" t="str">
        <x:v>Assets</x:v>
      </x:c>
      <x:c r="D4" s="30" t="n">
        <x:f>IF(C4="Assets",SUMIF('Trial Balance'!$A$3:$A$64,A4,'Trial Balance'!$I$3:$I$64)-SUMIF('Trial Balance'!$A$3:$A$64,A4,'Trial Balance'!$J$3:$J$64),SUMIF('Trial Balance'!$A$3:$A$64,A4,'Trial Balance'!$J$3:$J$64)-SUMIF('Trial Balance'!$A$3:$A$64,A4,'Trial Balance'!$I$3:$I$64))</x:f>
        <x:v>0</x:v>
      </x:c>
      <x:c r="E4" s="24" t="str">
        <x:v>Assets</x:v>
      </x:c>
    </x:row>
    <x:row r="5">
      <x:c r="A5" s="22" t="str">
        <x:v>1013</x:v>
      </x:c>
      <x:c r="B5" s="23" t="str">
        <x:v>Computers</x:v>
      </x:c>
      <x:c r="C5" s="23" t="str">
        <x:v>Assets</x:v>
      </x:c>
      <x:c r="D5" s="30" t="n">
        <x:f>IF(C5="Assets",SUMIF('Trial Balance'!$A$3:$A$64,A5,'Trial Balance'!$I$3:$I$64)-SUMIF('Trial Balance'!$A$3:$A$64,A5,'Trial Balance'!$J$3:$J$64),SUMIF('Trial Balance'!$A$3:$A$64,A5,'Trial Balance'!$J$3:$J$64)-SUMIF('Trial Balance'!$A$3:$A$64,A5,'Trial Balance'!$I$3:$I$64))</x:f>
        <x:v>150000</x:v>
      </x:c>
      <x:c r="E5" s="24" t="str">
        <x:v>Assets</x:v>
      </x:c>
    </x:row>
    <x:row r="6">
      <x:c r="A6" s="22" t="str">
        <x:v>1014</x:v>
      </x:c>
      <x:c r="B6" s="23" t="str">
        <x:v>Office Equipments</x:v>
      </x:c>
      <x:c r="C6" s="23" t="str">
        <x:v>Assets</x:v>
      </x:c>
      <x:c r="D6" s="30" t="n">
        <x:f>IF(C6="Assets",SUMIF('Trial Balance'!$A$3:$A$64,A6,'Trial Balance'!$I$3:$I$64)-SUMIF('Trial Balance'!$A$3:$A$64,A6,'Trial Balance'!$J$3:$J$64),SUMIF('Trial Balance'!$A$3:$A$64,A6,'Trial Balance'!$J$3:$J$64)-SUMIF('Trial Balance'!$A$3:$A$64,A6,'Trial Balance'!$I$3:$I$64))</x:f>
        <x:v>50000</x:v>
      </x:c>
      <x:c r="E6" s="24" t="str">
        <x:v>Assets</x:v>
      </x:c>
    </x:row>
    <x:row r="7">
      <x:c r="A7" s="22" t="str">
        <x:v>1015</x:v>
      </x:c>
      <x:c r="B7" s="23" t="str">
        <x:v>Vehicles</x:v>
      </x:c>
      <x:c r="C7" s="23" t="str">
        <x:v>Assets</x:v>
      </x:c>
      <x:c r="D7" s="30" t="n">
        <x:f>IF(C7="Assets",SUMIF('Trial Balance'!$A$3:$A$64,A7,'Trial Balance'!$I$3:$I$64)-SUMIF('Trial Balance'!$A$3:$A$64,A7,'Trial Balance'!$J$3:$J$64),SUMIF('Trial Balance'!$A$3:$A$64,A7,'Trial Balance'!$J$3:$J$64)-SUMIF('Trial Balance'!$A$3:$A$64,A7,'Trial Balance'!$I$3:$I$64))</x:f>
        <x:v>600000</x:v>
      </x:c>
      <x:c r="E7" s="24" t="str">
        <x:v>Assets</x:v>
      </x:c>
    </x:row>
    <x:row r="8">
      <x:c r="A8" s="22" t="str">
        <x:v>1016</x:v>
      </x:c>
      <x:c r="B8" s="23" t="str">
        <x:v>Intangible Assets</x:v>
      </x:c>
      <x:c r="C8" s="23" t="str">
        <x:v>Assets</x:v>
      </x:c>
      <x:c r="D8" s="30" t="n">
        <x:f>IF(C8="Assets",SUMIF('Trial Balance'!$A$3:$A$64,A8,'Trial Balance'!$I$3:$I$64)-SUMIF('Trial Balance'!$A$3:$A$64,A8,'Trial Balance'!$J$3:$J$64),SUMIF('Trial Balance'!$A$3:$A$64,A8,'Trial Balance'!$J$3:$J$64)-SUMIF('Trial Balance'!$A$3:$A$64,A8,'Trial Balance'!$I$3:$I$64))</x:f>
        <x:v>50000</x:v>
      </x:c>
      <x:c r="E8" s="24" t="str">
        <x:v>Assets</x:v>
      </x:c>
    </x:row>
    <x:row r="9">
      <x:c r="A9" s="22" t="str">
        <x:v>1017</x:v>
      </x:c>
      <x:c r="B9" s="23" t="str">
        <x:v>Accumulated depreciation</x:v>
      </x:c>
      <x:c r="C9" s="23" t="str">
        <x:v>Assets</x:v>
      </x:c>
      <x:c r="D9" s="30" t="n">
        <x:f>IF(C9="Assets",SUMIF('Trial Balance'!$A$3:$A$64,A9,'Trial Balance'!$I$3:$I$64)-SUMIF('Trial Balance'!$A$3:$A$64,A9,'Trial Balance'!$J$3:$J$64),SUMIF('Trial Balance'!$A$3:$A$64,A9,'Trial Balance'!$J$3:$J$64)-SUMIF('Trial Balance'!$A$3:$A$64,A9,'Trial Balance'!$I$3:$I$64))</x:f>
        <x:v>-150000</x:v>
      </x:c>
      <x:c r="E9" s="24" t="str">
        <x:v>Assets</x:v>
      </x:c>
    </x:row>
    <x:row r="10">
      <x:c r="A10" s="22" t="str">
        <x:v>1018</x:v>
      </x:c>
      <x:c r="B10" s="23" t="str">
        <x:v>Trade Debtors</x:v>
      </x:c>
      <x:c r="C10" s="23" t="str">
        <x:v>Assets</x:v>
      </x:c>
      <x:c r="D10" s="30" t="n">
        <x:f>IF(C10="Assets",SUMIF('Trial Balance'!$A$3:$A$64,A10,'Trial Balance'!$I$3:$I$64)-SUMIF('Trial Balance'!$A$3:$A$64,A10,'Trial Balance'!$J$3:$J$64),SUMIF('Trial Balance'!$A$3:$A$64,A10,'Trial Balance'!$J$3:$J$64)-SUMIF('Trial Balance'!$A$3:$A$64,A10,'Trial Balance'!$I$3:$I$64))</x:f>
        <x:v>1920000</x:v>
      </x:c>
      <x:c r="E10" s="24" t="str">
        <x:v>Assets</x:v>
      </x:c>
    </x:row>
    <x:row r="11">
      <x:c r="A11" s="22" t="str">
        <x:v>1019</x:v>
      </x:c>
      <x:c r="B11" s="23" t="str">
        <x:v>Advance to carriers</x:v>
      </x:c>
      <x:c r="C11" s="23" t="str">
        <x:v>Assets</x:v>
      </x:c>
      <x:c r="D11" s="30" t="n">
        <x:f>IF(C11="Assets",SUMIF('Trial Balance'!$A$3:$A$64,A11,'Trial Balance'!$I$3:$I$64)-SUMIF('Trial Balance'!$A$3:$A$64,A11,'Trial Balance'!$J$3:$J$64),SUMIF('Trial Balance'!$A$3:$A$64,A11,'Trial Balance'!$J$3:$J$64)-SUMIF('Trial Balance'!$A$3:$A$64,A11,'Trial Balance'!$I$3:$I$64))</x:f>
        <x:v>0</x:v>
      </x:c>
      <x:c r="E11" s="24" t="str">
        <x:v>Assets</x:v>
      </x:c>
    </x:row>
    <x:row r="12">
      <x:c r="A12" s="22" t="str">
        <x:v>1020</x:v>
      </x:c>
      <x:c r="B12" s="23" t="str">
        <x:v>Advance to BYOD</x:v>
      </x:c>
      <x:c r="C12" s="23" t="str">
        <x:v>Assets</x:v>
      </x:c>
      <x:c r="D12" s="30" t="n">
        <x:f>IF(C12="Assets",SUMIF('Trial Balance'!$A$3:$A$64,A12,'Trial Balance'!$I$3:$I$64)-SUMIF('Trial Balance'!$A$3:$A$64,A12,'Trial Balance'!$J$3:$J$64),SUMIF('Trial Balance'!$A$3:$A$64,A12,'Trial Balance'!$J$3:$J$64)-SUMIF('Trial Balance'!$A$3:$A$64,A12,'Trial Balance'!$I$3:$I$64))</x:f>
        <x:v>0</x:v>
      </x:c>
      <x:c r="E12" s="24" t="str">
        <x:v>Assets</x:v>
      </x:c>
    </x:row>
    <x:row r="13">
      <x:c r="A13" s="22" t="str">
        <x:v>1021</x:v>
      </x:c>
      <x:c r="B13" s="23" t="str">
        <x:v>Security deposit-Office</x:v>
      </x:c>
      <x:c r="C13" s="23" t="str">
        <x:v>Assets</x:v>
      </x:c>
      <x:c r="D13" s="30" t="n">
        <x:f>IF(C13="Assets",SUMIF('Trial Balance'!$A$3:$A$64,A13,'Trial Balance'!$I$3:$I$64)-SUMIF('Trial Balance'!$A$3:$A$64,A13,'Trial Balance'!$J$3:$J$64),SUMIF('Trial Balance'!$A$3:$A$64,A13,'Trial Balance'!$J$3:$J$64)-SUMIF('Trial Balance'!$A$3:$A$64,A13,'Trial Balance'!$I$3:$I$64))</x:f>
        <x:v>420000</x:v>
      </x:c>
      <x:c r="E13" s="24" t="str">
        <x:v>Assets</x:v>
      </x:c>
    </x:row>
    <x:row r="14">
      <x:c r="A14" s="22" t="str">
        <x:v>1022</x:v>
      </x:c>
      <x:c r="B14" s="23" t="str">
        <x:v>Security Deposits - Customer</x:v>
      </x:c>
      <x:c r="C14" s="23" t="str">
        <x:v>Assets</x:v>
      </x:c>
      <x:c r="D14" s="30" t="n">
        <x:f>IF(C14="Assets",SUMIF('Trial Balance'!$A$3:$A$64,A14,'Trial Balance'!$I$3:$I$64)-SUMIF('Trial Balance'!$A$3:$A$64,A14,'Trial Balance'!$J$3:$J$64),SUMIF('Trial Balance'!$A$3:$A$64,A14,'Trial Balance'!$J$3:$J$64)-SUMIF('Trial Balance'!$A$3:$A$64,A14,'Trial Balance'!$I$3:$I$64))</x:f>
        <x:v>0</x:v>
      </x:c>
      <x:c r="E14" s="24" t="str">
        <x:v>Assets</x:v>
      </x:c>
    </x:row>
    <x:row r="15">
      <x:c r="A15" s="22" t="str">
        <x:v>1023</x:v>
      </x:c>
      <x:c r="B15" s="23" t="str">
        <x:v>Security deposit - carriers</x:v>
      </x:c>
      <x:c r="C15" s="23" t="str">
        <x:v>Assets</x:v>
      </x:c>
      <x:c r="D15" s="30" t="n">
        <x:f>IF(C15="Assets",SUMIF('Trial Balance'!$A$3:$A$64,A15,'Trial Balance'!$I$3:$I$64)-SUMIF('Trial Balance'!$A$3:$A$64,A15,'Trial Balance'!$J$3:$J$64),SUMIF('Trial Balance'!$A$3:$A$64,A15,'Trial Balance'!$J$3:$J$64)-SUMIF('Trial Balance'!$A$3:$A$64,A15,'Trial Balance'!$I$3:$I$64))</x:f>
        <x:v>0</x:v>
      </x:c>
      <x:c r="E15" s="24" t="str">
        <x:v>Assets</x:v>
      </x:c>
    </x:row>
    <x:row r="16">
      <x:c r="A16" s="22" t="str">
        <x:v>1024</x:v>
      </x:c>
      <x:c r="B16" s="23" t="str">
        <x:v>Bank Guarrantee</x:v>
      </x:c>
      <x:c r="C16" s="23" t="str">
        <x:v>Assets</x:v>
      </x:c>
      <x:c r="D16" s="30" t="n">
        <x:f>IF(C16="Assets",SUMIF('Trial Balance'!$A$3:$A$64,A16,'Trial Balance'!$I$3:$I$64)-SUMIF('Trial Balance'!$A$3:$A$64,A16,'Trial Balance'!$J$3:$J$64),SUMIF('Trial Balance'!$A$3:$A$64,A16,'Trial Balance'!$J$3:$J$64)-SUMIF('Trial Balance'!$A$3:$A$64,A16,'Trial Balance'!$I$3:$I$64))</x:f>
        <x:v>0</x:v>
      </x:c>
      <x:c r="E16" s="24" t="str">
        <x:v>Assets</x:v>
      </x:c>
    </x:row>
    <x:row r="17">
      <x:c r="A17" s="22" t="str">
        <x:v>1025</x:v>
      </x:c>
      <x:c r="B17" s="23" t="str">
        <x:v>Advance to Employees</x:v>
      </x:c>
      <x:c r="C17" s="23" t="str">
        <x:v>Assets</x:v>
      </x:c>
      <x:c r="D17" s="30" t="n">
        <x:f>IF(C17="Assets",SUMIF('Trial Balance'!$A$3:$A$64,A17,'Trial Balance'!$I$3:$I$64)-SUMIF('Trial Balance'!$A$3:$A$64,A17,'Trial Balance'!$J$3:$J$64),SUMIF('Trial Balance'!$A$3:$A$64,A17,'Trial Balance'!$J$3:$J$64)-SUMIF('Trial Balance'!$A$3:$A$64,A17,'Trial Balance'!$I$3:$I$64))</x:f>
        <x:v>100000</x:v>
      </x:c>
      <x:c r="E17" s="24" t="str">
        <x:v>Assets</x:v>
      </x:c>
    </x:row>
    <x:row r="18">
      <x:c r="A18" s="22" t="str">
        <x:v>1026</x:v>
      </x:c>
      <x:c r="B18" s="23" t="str">
        <x:v>Prepayments</x:v>
      </x:c>
      <x:c r="C18" s="23" t="str">
        <x:v>Assets</x:v>
      </x:c>
      <x:c r="D18" s="30" t="n">
        <x:f>IF(C18="Assets",SUMIF('Trial Balance'!$A$3:$A$64,A18,'Trial Balance'!$I$3:$I$64)-SUMIF('Trial Balance'!$A$3:$A$64,A18,'Trial Balance'!$J$3:$J$64),SUMIF('Trial Balance'!$A$3:$A$64,A18,'Trial Balance'!$J$3:$J$64)-SUMIF('Trial Balance'!$A$3:$A$64,A18,'Trial Balance'!$I$3:$I$64))</x:f>
        <x:v>100000</x:v>
      </x:c>
      <x:c r="E18" s="24" t="str">
        <x:v>Assets</x:v>
      </x:c>
    </x:row>
    <x:row r="19">
      <x:c r="A19" s="22" t="str">
        <x:v>1027</x:v>
      </x:c>
      <x:c r="B19" s="23" t="str">
        <x:v>Input sales tax</x:v>
      </x:c>
      <x:c r="C19" s="23" t="str">
        <x:v>Assets</x:v>
      </x:c>
      <x:c r="D19" s="30" t="n">
        <x:f>IF(C19="Assets",SUMIF('Trial Balance'!$A$3:$A$64,A19,'Trial Balance'!$I$3:$I$64)-SUMIF('Trial Balance'!$A$3:$A$64,A19,'Trial Balance'!$J$3:$J$64),SUMIF('Trial Balance'!$A$3:$A$64,A19,'Trial Balance'!$J$3:$J$64)-SUMIF('Trial Balance'!$A$3:$A$64,A19,'Trial Balance'!$I$3:$I$64))</x:f>
        <x:v>0</x:v>
      </x:c>
      <x:c r="E19" s="24" t="str">
        <x:v>Libailities</x:v>
      </x:c>
    </x:row>
    <x:row r="20">
      <x:c r="A20" s="22" t="str">
        <x:v>1028</x:v>
      </x:c>
      <x:c r="B20" s="23" t="str">
        <x:v>PK49DUIB0000000627075001</x:v>
      </x:c>
      <x:c r="C20" s="23" t="str">
        <x:v>Assets</x:v>
      </x:c>
      <x:c r="D20" s="30" t="n">
        <x:f>IF(C20="Assets",SUMIF('Trial Balance'!$A$3:$A$64,A20,'Trial Balance'!$I$3:$I$64)-SUMIF('Trial Balance'!$A$3:$A$64,A20,'Trial Balance'!$J$3:$J$64),SUMIF('Trial Balance'!$A$3:$A$64,A20,'Trial Balance'!$J$3:$J$64)-SUMIF('Trial Balance'!$A$3:$A$64,A20,'Trial Balance'!$I$3:$I$64))</x:f>
        <x:v>200000</x:v>
      </x:c>
      <x:c r="E20" s="24" t="str">
        <x:v>Assets</x:v>
      </x:c>
    </x:row>
    <x:row r="21">
      <x:c r="A21" s="22" t="str">
        <x:v>1029</x:v>
      </x:c>
      <x:c r="B21" s="23" t="str">
        <x:v>PK55HABB0022827200508103</x:v>
      </x:c>
      <x:c r="C21" s="23" t="str">
        <x:v>Assets</x:v>
      </x:c>
      <x:c r="D21" s="30" t="n">
        <x:f>IF(C21="Assets",SUMIF('Trial Balance'!$A$3:$A$64,A21,'Trial Balance'!$I$3:$I$64)-SUMIF('Trial Balance'!$A$3:$A$64,A21,'Trial Balance'!$J$3:$J$64),SUMIF('Trial Balance'!$A$3:$A$64,A21,'Trial Balance'!$J$3:$J$64)-SUMIF('Trial Balance'!$A$3:$A$64,A21,'Trial Balance'!$I$3:$I$64))</x:f>
        <x:v>1972000</x:v>
      </x:c>
      <x:c r="E21" s="24" t="str">
        <x:v>Assets</x:v>
      </x:c>
    </x:row>
    <x:row r="22">
      <x:c r="A22" s="22" t="str">
        <x:v>1030</x:v>
      </x:c>
      <x:c r="B22" s="23" t="str">
        <x:v>PK24MEZN0001110107095251</x:v>
      </x:c>
      <x:c r="C22" s="23" t="str">
        <x:v>Assets</x:v>
      </x:c>
      <x:c r="D22" s="30" t="n">
        <x:f>IF(C22="Assets",SUMIF('Trial Balance'!$A$3:$A$64,A22,'Trial Balance'!$I$3:$I$64)-SUMIF('Trial Balance'!$A$3:$A$64,A22,'Trial Balance'!$J$3:$J$64),SUMIF('Trial Balance'!$A$3:$A$64,A22,'Trial Balance'!$J$3:$J$64)-SUMIF('Trial Balance'!$A$3:$A$64,A22,'Trial Balance'!$I$3:$I$64))</x:f>
        <x:v>1475000</x:v>
      </x:c>
      <x:c r="E22" s="24" t="str">
        <x:v>Assets</x:v>
      </x:c>
    </x:row>
    <x:row r="23">
      <x:c r="A23" s="22" t="str">
        <x:v>1031</x:v>
      </x:c>
      <x:c r="B23" s="23" t="str">
        <x:v>PK75MPBL0124067140164610</x:v>
      </x:c>
      <x:c r="C23" s="23" t="str">
        <x:v>Assets</x:v>
      </x:c>
      <x:c r="D23" s="30" t="n">
        <x:f>IF(C23="Assets",SUMIF('Trial Balance'!$A$3:$A$64,A23,'Trial Balance'!$I$3:$I$64)-SUMIF('Trial Balance'!$A$3:$A$64,A23,'Trial Balance'!$J$3:$J$64),SUMIF('Trial Balance'!$A$3:$A$64,A23,'Trial Balance'!$J$3:$J$64)-SUMIF('Trial Balance'!$A$3:$A$64,A23,'Trial Balance'!$I$3:$I$64))</x:f>
        <x:v>1552000</x:v>
      </x:c>
      <x:c r="E23" s="24" t="str">
        <x:v>Assets</x:v>
      </x:c>
    </x:row>
    <x:row r="24">
      <x:c r="A24" s="22" t="str">
        <x:v>1032</x:v>
      </x:c>
      <x:c r="B24" s="23" t="str">
        <x:v>Sales Tax Payable</x:v>
      </x:c>
      <x:c r="C24" s="23" t="str">
        <x:v>Liabilities</x:v>
      </x:c>
      <x:c r="D24" s="30" t="n">
        <x:f>IF(C24="Assets",SUMIF('Trial Balance'!$A$3:$A$64,A24,'Trial Balance'!$I$3:$I$64)-SUMIF('Trial Balance'!$A$3:$A$64,A24,'Trial Balance'!$J$3:$J$64),SUMIF('Trial Balance'!$A$3:$A$64,A24,'Trial Balance'!$J$3:$J$64)-SUMIF('Trial Balance'!$A$3:$A$64,A24,'Trial Balance'!$I$3:$I$64))</x:f>
        <x:v>130000</x:v>
      </x:c>
      <x:c r="E24" s="24" t="str">
        <x:v>Libailities</x:v>
      </x:c>
    </x:row>
    <x:row r="25">
      <x:c r="A25" s="22" t="str">
        <x:v>1033</x:v>
      </x:c>
      <x:c r="B25" s="23" t="str">
        <x:v>Contract liability</x:v>
      </x:c>
      <x:c r="C25" s="23" t="str">
        <x:v>Liabilities</x:v>
      </x:c>
      <x:c r="D25" s="30" t="n">
        <x:f>IF(C25="Assets",SUMIF('Trial Balance'!$A$3:$A$64,A25,'Trial Balance'!$I$3:$I$64)-SUMIF('Trial Balance'!$A$3:$A$64,A25,'Trial Balance'!$J$3:$J$64),SUMIF('Trial Balance'!$A$3:$A$64,A25,'Trial Balance'!$J$3:$J$64)-SUMIF('Trial Balance'!$A$3:$A$64,A25,'Trial Balance'!$I$3:$I$64))</x:f>
        <x:v>500000</x:v>
      </x:c>
      <x:c r="E25" s="24" t="str">
        <x:v>Libailities</x:v>
      </x:c>
    </x:row>
    <x:row r="26">
      <x:c r="A26" s="22" t="str">
        <x:v>1034</x:v>
      </x:c>
      <x:c r="B26" s="23" t="str">
        <x:v>Accrued payroll</x:v>
      </x:c>
      <x:c r="C26" s="23" t="str">
        <x:v>Liabilities</x:v>
      </x:c>
      <x:c r="D26" s="30" t="n">
        <x:f>IF(C26="Assets",SUMIF('Trial Balance'!$A$3:$A$64,A26,'Trial Balance'!$I$3:$I$64)-SUMIF('Trial Balance'!$A$3:$A$64,A26,'Trial Balance'!$J$3:$J$64),SUMIF('Trial Balance'!$A$3:$A$64,A26,'Trial Balance'!$J$3:$J$64)-SUMIF('Trial Balance'!$A$3:$A$64,A26,'Trial Balance'!$I$3:$I$64))</x:f>
        <x:v>375000</x:v>
      </x:c>
      <x:c r="E26" s="24" t="str">
        <x:v>Libailities</x:v>
      </x:c>
    </x:row>
    <x:row r="27">
      <x:c r="A27" s="22" t="str">
        <x:v>1035</x:v>
      </x:c>
      <x:c r="B27" s="23" t="str">
        <x:v>Accrued expenses</x:v>
      </x:c>
      <x:c r="C27" s="23" t="str">
        <x:v>Liabilities</x:v>
      </x:c>
      <x:c r="D27" s="30" t="n">
        <x:f>IF(C27="Assets",SUMIF('Trial Balance'!$A$3:$A$64,A27,'Trial Balance'!$I$3:$I$64)-SUMIF('Trial Balance'!$A$3:$A$64,A27,'Trial Balance'!$J$3:$J$64),SUMIF('Trial Balance'!$A$3:$A$64,A27,'Trial Balance'!$J$3:$J$64)-SUMIF('Trial Balance'!$A$3:$A$64,A27,'Trial Balance'!$I$3:$I$64))</x:f>
        <x:v>250000</x:v>
      </x:c>
      <x:c r="E27" s="24" t="str">
        <x:v>Libailities</x:v>
      </x:c>
    </x:row>
    <x:row r="28">
      <x:c r="A28" s="22" t="str">
        <x:v>1036</x:v>
      </x:c>
      <x:c r="B28" s="23" t="str">
        <x:v>Withholding tax payable:Withholding tax - Vendors</x:v>
      </x:c>
      <x:c r="C28" s="23" t="str">
        <x:v>Liabilities</x:v>
      </x:c>
      <x:c r="D28" s="30" t="n">
        <x:f>IF(C28="Assets",SUMIF('Trial Balance'!$A$3:$A$64,A28,'Trial Balance'!$I$3:$I$64)-SUMIF('Trial Balance'!$A$3:$A$64,A28,'Trial Balance'!$J$3:$J$64),SUMIF('Trial Balance'!$A$3:$A$64,A28,'Trial Balance'!$J$3:$J$64)-SUMIF('Trial Balance'!$A$3:$A$64,A28,'Trial Balance'!$I$3:$I$64))</x:f>
        <x:v>78000</x:v>
      </x:c>
      <x:c r="E28" s="24" t="str">
        <x:v>Libailities</x:v>
      </x:c>
    </x:row>
    <x:row r="29">
      <x:c r="A29" s="22" t="str">
        <x:v>1037</x:v>
      </x:c>
      <x:c r="B29" s="23" t="str">
        <x:v>Advance against issue of shares</x:v>
      </x:c>
      <x:c r="C29" s="23" t="str">
        <x:v>Equity</x:v>
      </x:c>
      <x:c r="D29" s="30" t="n">
        <x:f>IF(C29="Assets",SUMIF('Trial Balance'!$A$3:$A$64,A29,'Trial Balance'!$I$3:$I$64)-SUMIF('Trial Balance'!$A$3:$A$64,A29,'Trial Balance'!$J$3:$J$64),SUMIF('Trial Balance'!$A$3:$A$64,A29,'Trial Balance'!$J$3:$J$64)-SUMIF('Trial Balance'!$A$3:$A$64,A29,'Trial Balance'!$I$3:$I$64))</x:f>
        <x:v>200000</x:v>
      </x:c>
      <x:c r="E29" s="24" t="str">
        <x:v>Equity</x:v>
      </x:c>
    </x:row>
    <x:row r="30">
      <x:c r="A30" s="22" t="str">
        <x:v>1038</x:v>
      </x:c>
      <x:c r="B30" s="23" t="str">
        <x:v>Retained Earnings</x:v>
      </x:c>
      <x:c r="C30" s="23" t="str">
        <x:v>Equity</x:v>
      </x:c>
      <x:c r="D30" s="30" t="n">
        <x:f>IF(C30="Assets",SUMIF('Trial Balance'!$A$3:$A$64,A30,'Trial Balance'!$I$3:$I$64)-SUMIF('Trial Balance'!$A$3:$A$64,A30,'Trial Balance'!$J$3:$J$64),SUMIF('Trial Balance'!$A$3:$A$64,A30,'Trial Balance'!$J$3:$J$64)-SUMIF('Trial Balance'!$A$3:$A$64,A30,'Trial Balance'!$I$3:$I$64))</x:f>
        <x:v>0</x:v>
      </x:c>
      <x:c r="E30" s="24" t="str">
        <x:v>Equity</x:v>
      </x:c>
    </x:row>
    <x:row r="31">
      <x:c r="A31" s="22" t="str">
        <x:v>1039</x:v>
      </x:c>
      <x:c r="B31" s="23" t="str">
        <x:v>Share premium</x:v>
      </x:c>
      <x:c r="C31" s="23" t="str">
        <x:v>Equity</x:v>
      </x:c>
      <x:c r="D31" s="30" t="n">
        <x:f>IF(C31="Assets",SUMIF('Trial Balance'!$A$3:$A$64,A31,'Trial Balance'!$I$3:$I$64)-SUMIF('Trial Balance'!$A$3:$A$64,A31,'Trial Balance'!$J$3:$J$64),SUMIF('Trial Balance'!$A$3:$A$64,A31,'Trial Balance'!$J$3:$J$64)-SUMIF('Trial Balance'!$A$3:$A$64,A31,'Trial Balance'!$I$3:$I$64))</x:f>
        <x:v>0</x:v>
      </x:c>
      <x:c r="E31" s="24" t="str">
        <x:v>Equity</x:v>
      </x:c>
    </x:row>
    <x:row r="32">
      <x:c r="A32" s="22" t="str">
        <x:v>1040</x:v>
      </x:c>
      <x:c r="B32" s="23" t="str">
        <x:v>Share capital</x:v>
      </x:c>
      <x:c r="C32" s="23" t="str">
        <x:v>Equity</x:v>
      </x:c>
      <x:c r="D32" s="30" t="n">
        <x:f>IF(C32="Assets",SUMIF('Trial Balance'!$A$3:$A$64,A32,'Trial Balance'!$I$3:$I$64)-SUMIF('Trial Balance'!$A$3:$A$64,A32,'Trial Balance'!$J$3:$J$64),SUMIF('Trial Balance'!$A$3:$A$64,A32,'Trial Balance'!$J$3:$J$64)-SUMIF('Trial Balance'!$A$3:$A$64,A32,'Trial Balance'!$I$3:$I$64))</x:f>
        <x:v>4775000</x:v>
      </x:c>
      <x:c r="E32" s="24" t="str">
        <x:v>Equity</x:v>
      </x:c>
    </x:row>
    <x:row r="33">
      <x:c r="A33" s="22" t="str">
        <x:v>1041</x:v>
      </x:c>
      <x:c r="B33" s="23" t="str">
        <x:v>ABHI</x:v>
      </x:c>
      <x:c r="C33" s="23" t="str">
        <x:v>Liabilities</x:v>
      </x:c>
      <x:c r="D33" s="30" t="n">
        <x:f>IF(C33="Assets",SUMIF('Trial Balance'!$A$3:$A$64,A33,'Trial Balance'!$I$3:$I$64)-SUMIF('Trial Balance'!$A$3:$A$64,A33,'Trial Balance'!$J$3:$J$64),SUMIF('Trial Balance'!$A$3:$A$64,A33,'Trial Balance'!$J$3:$J$64)-SUMIF('Trial Balance'!$A$3:$A$64,A33,'Trial Balance'!$I$3:$I$64))</x:f>
        <x:v>850000</x:v>
      </x:c>
      <x:c r="E33" s="24" t="str">
        <x:v>Libailities</x:v>
      </x:c>
    </x:row>
    <x:row r="34">
      <x:c r="A34" s="22" t="str">
        <x:v>1042</x:v>
      </x:c>
      <x:c r="B34" s="23" t="str">
        <x:v>Audit Fee Payable</x:v>
      </x:c>
      <x:c r="C34" s="23" t="str">
        <x:v>Liabilities</x:v>
      </x:c>
      <x:c r="D34" s="30" t="n">
        <x:f>IF(C34="Assets",SUMIF('Trial Balance'!$A$3:$A$64,A34,'Trial Balance'!$I$3:$I$64)-SUMIF('Trial Balance'!$A$3:$A$64,A34,'Trial Balance'!$J$3:$J$64),SUMIF('Trial Balance'!$A$3:$A$64,A34,'Trial Balance'!$J$3:$J$64)-SUMIF('Trial Balance'!$A$3:$A$64,A34,'Trial Balance'!$I$3:$I$64))</x:f>
        <x:v>100000</x:v>
      </x:c>
      <x:c r="E34" s="24" t="str">
        <x:v>Libailities</x:v>
      </x:c>
    </x:row>
    <x:row r="35">
      <x:c r="A35" s="22" t="str">
        <x:v>1043</x:v>
      </x:c>
      <x:c r="B35" s="23" t="str">
        <x:v>Prepaid Leasehold</x:v>
      </x:c>
      <x:c r="C35" s="23" t="str">
        <x:v>Assets</x:v>
      </x:c>
      <x:c r="D35" s="30" t="n">
        <x:f>IF(C35="Assets",SUMIF('Trial Balance'!$A$3:$A$64,A35,'Trial Balance'!$I$3:$I$64)-SUMIF('Trial Balance'!$A$3:$A$64,A35,'Trial Balance'!$J$3:$J$64),SUMIF('Trial Balance'!$A$3:$A$64,A35,'Trial Balance'!$J$3:$J$64)-SUMIF('Trial Balance'!$A$3:$A$64,A35,'Trial Balance'!$I$3:$I$64))</x:f>
        <x:v>0</x:v>
      </x:c>
      <x:c r="E35" s="24" t="str">
        <x:v>Assets</x:v>
      </x:c>
    </x:row>
    <x:row r="36">
      <x:c r="A36" s="22" t="str">
        <x:v>1044</x:v>
      </x:c>
      <x:c r="B36" s="23" t="str">
        <x:v>Advance tax</x:v>
      </x:c>
      <x:c r="C36" s="23" t="str">
        <x:v>Assets</x:v>
      </x:c>
      <x:c r="D36" s="30" t="n">
        <x:f>IF(C36="Assets",SUMIF('Trial Balance'!$A$3:$A$64,A36,'Trial Balance'!$I$3:$I$64)-SUMIF('Trial Balance'!$A$3:$A$64,A36,'Trial Balance'!$J$3:$J$64),SUMIF('Trial Balance'!$A$3:$A$64,A36,'Trial Balance'!$J$3:$J$64)-SUMIF('Trial Balance'!$A$3:$A$64,A36,'Trial Balance'!$I$3:$I$64))</x:f>
        <x:v>220000</x:v>
      </x:c>
      <x:c r="E36" s="24" t="str">
        <x:v>Assets</x:v>
      </x:c>
    </x:row>
    <x:row r="37">
      <x:c r="A37" s="22" t="str">
        <x:v>1045</x:v>
      </x:c>
      <x:c r="B37" s="23" t="str">
        <x:v>WHT on Bank Profit</x:v>
      </x:c>
      <x:c r="C37" s="23" t="str">
        <x:v>Assets</x:v>
      </x:c>
      <x:c r="D37" s="30" t="n">
        <x:f>IF(C37="Assets",SUMIF('Trial Balance'!$A$3:$A$64,A37,'Trial Balance'!$I$3:$I$64)-SUMIF('Trial Balance'!$A$3:$A$64,A37,'Trial Balance'!$J$3:$J$64),SUMIF('Trial Balance'!$A$3:$A$64,A37,'Trial Balance'!$J$3:$J$64)-SUMIF('Trial Balance'!$A$3:$A$64,A37,'Trial Balance'!$I$3:$I$64))</x:f>
        <x:v>27000</x:v>
      </x:c>
      <x:c r="E37" s="24" t="str">
        <x:v>Assets</x:v>
      </x:c>
    </x:row>
    <x:row r="38">
      <x:c r="A38" s="22" t="str">
        <x:v>1046</x:v>
      </x:c>
      <x:c r="B38" s="23" t="str">
        <x:v>Withholding tax :Withholding tax - Utilities</x:v>
      </x:c>
      <x:c r="C38" s="23" t="str">
        <x:v>Assets</x:v>
      </x:c>
      <x:c r="D38" s="30" t="n">
        <x:f>IF(C38="Assets",SUMIF('Trial Balance'!$A$3:$A$64,A38,'Trial Balance'!$I$3:$I$64)-SUMIF('Trial Balance'!$A$3:$A$64,A38,'Trial Balance'!$J$3:$J$64),SUMIF('Trial Balance'!$A$3:$A$64,A38,'Trial Balance'!$J$3:$J$64)-SUMIF('Trial Balance'!$A$3:$A$64,A38,'Trial Balance'!$I$3:$I$64))</x:f>
        <x:v>0</x:v>
      </x:c>
      <x:c r="E38" s="24" t="str">
        <x:v>Assets</x:v>
      </x:c>
    </x:row>
    <x:row r="39">
      <x:c r="A39" s="22" t="str">
        <x:v>1047</x:v>
      </x:c>
      <x:c r="B39" s="23" t="str">
        <x:v>Provision for Taxation</x:v>
      </x:c>
      <x:c r="C39" s="23" t="str">
        <x:v>Liabilities</x:v>
      </x:c>
      <x:c r="D39" s="30" t="n">
        <x:f>IF(C39="Assets",SUMIF('Trial Balance'!$A$3:$A$64,A39,'Trial Balance'!$I$3:$I$64)-SUMIF('Trial Balance'!$A$3:$A$64,A39,'Trial Balance'!$J$3:$J$64),SUMIF('Trial Balance'!$A$3:$A$64,A39,'Trial Balance'!$J$3:$J$64)-SUMIF('Trial Balance'!$A$3:$A$64,A39,'Trial Balance'!$I$3:$I$64))</x:f>
        <x:v>250000</x:v>
      </x:c>
      <x:c r="E39" s="24" t="str">
        <x:v>Assets</x:v>
      </x:c>
    </x:row>
    <x:row r="40">
      <x:c r="A40" s="22"/>
      <x:c r="B40" s="23"/>
      <x:c r="C40" s="23"/>
      <x:c r="D40" s="30"/>
      <x:c r="E40" s="24"/>
    </x:row>
    <x:row r="41">
      <x:c r="A41" s="54" t="str">
        <x:v>Total Assets</x:v>
      </x:c>
      <x:c r="B41" s="55"/>
      <x:c r="C41" s="55"/>
      <x:c r="D41" s="58" t="n">
        <x:f>SUMIF(C3:C39,"Assets",D3:D39)</x:f>
        <x:v>8786000</x:v>
      </x:c>
      <x:c r="E41" s="24"/>
    </x:row>
    <x:row r="42">
      <x:c r="A42" s="54" t="str">
        <x:v>Total Liabilities</x:v>
      </x:c>
      <x:c r="B42" s="55"/>
      <x:c r="C42" s="55"/>
      <x:c r="D42" s="58" t="n">
        <x:f>SUMIF(C3:C39,"Liabilities",D3:D39)</x:f>
        <x:v>2533000</x:v>
      </x:c>
      <x:c r="E42" s="24"/>
    </x:row>
    <x:row r="43">
      <x:c r="A43" s="54" t="str">
        <x:v>Equity before current-period profit</x:v>
      </x:c>
      <x:c r="B43" s="55"/>
      <x:c r="C43" s="55"/>
      <x:c r="D43" s="58" t="n">
        <x:f>SUMIF(C3:C39,"Equity",D3:D39)</x:f>
        <x:v>4975000</x:v>
      </x:c>
      <x:c r="E43" s="24"/>
    </x:row>
    <x:row r="44">
      <x:c r="A44" s="54" t="str">
        <x:v>Current-period profit</x:v>
      </x:c>
      <x:c r="B44" s="55"/>
      <x:c r="C44" s="55"/>
      <x:c r="D44" s="58" t="n">
        <x:f>'Profit and Loss'!D31</x:f>
        <x:v>1278000</x:v>
      </x:c>
      <x:c r="E44" s="24"/>
    </x:row>
    <x:row r="45">
      <x:c r="A45" s="54" t="str">
        <x:v>Total Liabilities and Equity</x:v>
      </x:c>
      <x:c r="B45" s="55"/>
      <x:c r="C45" s="55"/>
      <x:c r="D45" s="58" t="n">
        <x:f>D42+D43+D44</x:f>
        <x:v>8786000</x:v>
      </x:c>
      <x:c r="E45" s="24"/>
    </x:row>
    <x:row r="46">
      <x:c r="A46" s="56" t="str">
        <x:v>Balance Sheet Check</x:v>
      </x:c>
      <x:c r="B46" s="57"/>
      <x:c r="C46" s="57"/>
      <x:c r="D46" s="59" t="n">
        <x:f>D41-D45</x:f>
        <x:v>0</x:v>
      </x:c>
      <x:c r="E46" s="27"/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18" hidden="0" customWidth="1"/>
  </x:cols>
  <x:sheetData>
    <x:row r="1" ht="26" customHeight="1">
      <x:c r="A1" s="3" t="str">
        <x:v>Profit and Loss Statement — July 2025</x:v>
      </x:c>
    </x:row>
    <x:row r="2">
      <x:c r="A2" s="19" t="str">
        <x:v>GL Code</x:v>
      </x:c>
      <x:c r="B2" s="20" t="str">
        <x:v>Account</x:v>
      </x:c>
      <x:c r="C2" s="20" t="str">
        <x:v>Classification</x:v>
      </x:c>
      <x:c r="D2" s="21" t="str">
        <x:v>Amount (PKR)</x:v>
      </x:c>
    </x:row>
    <x:row r="3">
      <x:c r="A3" s="22" t="str">
        <x:v>1048</x:v>
      </x:c>
      <x:c r="B3" s="23" t="str">
        <x:v>Taxation ( Current Year)</x:v>
      </x:c>
      <x:c r="C3" s="23" t="str">
        <x:v>Expenses</x:v>
      </x:c>
      <x:c r="D3" s="51" t="n">
        <x:f>IF(C3="Income",SUMIF('Trial Balance'!$A$3:$A$64,A3,'Trial Balance'!$J$3:$J$64)-SUMIF('Trial Balance'!$A$3:$A$64,A3,'Trial Balance'!$I$3:$I$64),SUMIF('Trial Balance'!$A$3:$A$64,A3,'Trial Balance'!$I$3:$I$64)-SUMIF('Trial Balance'!$A$3:$A$64,A3,'Trial Balance'!$J$3:$J$64))</x:f>
        <x:v>0</x:v>
      </x:c>
    </x:row>
    <x:row r="4">
      <x:c r="A4" s="22" t="str">
        <x:v>1049</x:v>
      </x:c>
      <x:c r="B4" s="23" t="str">
        <x:v>Fleet Subsidy</x:v>
      </x:c>
      <x:c r="C4" s="23" t="str">
        <x:v>Expenses</x:v>
      </x:c>
      <x:c r="D4" s="51" t="n">
        <x:f>IF(C4="Income",SUMIF('Trial Balance'!$A$3:$A$64,A4,'Trial Balance'!$J$3:$J$64)-SUMIF('Trial Balance'!$A$3:$A$64,A4,'Trial Balance'!$I$3:$I$64),SUMIF('Trial Balance'!$A$3:$A$64,A4,'Trial Balance'!$I$3:$I$64)-SUMIF('Trial Balance'!$A$3:$A$64,A4,'Trial Balance'!$J$3:$J$64))</x:f>
        <x:v>0</x:v>
      </x:c>
    </x:row>
    <x:row r="5">
      <x:c r="A5" s="22" t="str">
        <x:v>1050</x:v>
      </x:c>
      <x:c r="B5" s="23" t="str">
        <x:v>Sales revenue</x:v>
      </x:c>
      <x:c r="C5" s="23" t="str">
        <x:v>Income</x:v>
      </x:c>
      <x:c r="D5" s="51" t="n">
        <x:f>IF(C5="Income",SUMIF('Trial Balance'!$A$3:$A$64,A5,'Trial Balance'!$J$3:$J$64)-SUMIF('Trial Balance'!$A$3:$A$64,A5,'Trial Balance'!$I$3:$I$64),SUMIF('Trial Balance'!$A$3:$A$64,A5,'Trial Balance'!$I$3:$I$64)-SUMIF('Trial Balance'!$A$3:$A$64,A5,'Trial Balance'!$J$3:$J$64))</x:f>
        <x:v>2850000</x:v>
      </x:c>
    </x:row>
    <x:row r="6">
      <x:c r="A6" s="22" t="str">
        <x:v>1051</x:v>
      </x:c>
      <x:c r="B6" s="23" t="str">
        <x:v>Allowance for doubtful debts</x:v>
      </x:c>
      <x:c r="C6" s="23" t="str">
        <x:v>Expenses</x:v>
      </x:c>
      <x:c r="D6" s="51" t="n">
        <x:f>IF(C6="Income",SUMIF('Trial Balance'!$A$3:$A$64,A6,'Trial Balance'!$J$3:$J$64)-SUMIF('Trial Balance'!$A$3:$A$64,A6,'Trial Balance'!$I$3:$I$64),SUMIF('Trial Balance'!$A$3:$A$64,A6,'Trial Balance'!$I$3:$I$64)-SUMIF('Trial Balance'!$A$3:$A$64,A6,'Trial Balance'!$J$3:$J$64))</x:f>
        <x:v>0</x:v>
      </x:c>
    </x:row>
    <x:row r="7">
      <x:c r="A7" s="22" t="str">
        <x:v>1052</x:v>
      </x:c>
      <x:c r="B7" s="23" t="str">
        <x:v>Allowance for doubtful debts</x:v>
      </x:c>
      <x:c r="C7" s="23" t="str">
        <x:v>Expenses</x:v>
      </x:c>
      <x:c r="D7" s="51" t="n">
        <x:f>IF(C7="Income",SUMIF('Trial Balance'!$A$3:$A$64,A7,'Trial Balance'!$J$3:$J$64)-SUMIF('Trial Balance'!$A$3:$A$64,A7,'Trial Balance'!$I$3:$I$64),SUMIF('Trial Balance'!$A$3:$A$64,A7,'Trial Balance'!$I$3:$I$64)-SUMIF('Trial Balance'!$A$3:$A$64,A7,'Trial Balance'!$J$3:$J$64))</x:f>
        <x:v>0</x:v>
      </x:c>
    </x:row>
    <x:row r="8">
      <x:c r="A8" s="22" t="str">
        <x:v>1053</x:v>
      </x:c>
      <x:c r="B8" s="23" t="str">
        <x:v>Allowance for advance for laptops</x:v>
      </x:c>
      <x:c r="C8" s="23" t="str">
        <x:v>Expenses</x:v>
      </x:c>
      <x:c r="D8" s="51" t="n">
        <x:f>IF(C8="Income",SUMIF('Trial Balance'!$A$3:$A$64,A8,'Trial Balance'!$J$3:$J$64)-SUMIF('Trial Balance'!$A$3:$A$64,A8,'Trial Balance'!$I$3:$I$64),SUMIF('Trial Balance'!$A$3:$A$64,A8,'Trial Balance'!$I$3:$I$64)-SUMIF('Trial Balance'!$A$3:$A$64,A8,'Trial Balance'!$J$3:$J$64))</x:f>
        <x:v>0</x:v>
      </x:c>
    </x:row>
    <x:row r="9">
      <x:c r="A9" s="22" t="str">
        <x:v>1054</x:v>
      </x:c>
      <x:c r="B9" s="23" t="str">
        <x:v>Trucker's Commission</x:v>
      </x:c>
      <x:c r="C9" s="23" t="str">
        <x:v>Income</x:v>
      </x:c>
      <x:c r="D9" s="51" t="n">
        <x:f>IF(C9="Income",SUMIF('Trial Balance'!$A$3:$A$64,A9,'Trial Balance'!$J$3:$J$64)-SUMIF('Trial Balance'!$A$3:$A$64,A9,'Trial Balance'!$I$3:$I$64),SUMIF('Trial Balance'!$A$3:$A$64,A9,'Trial Balance'!$I$3:$I$64)-SUMIF('Trial Balance'!$A$3:$A$64,A9,'Trial Balance'!$J$3:$J$64))</x:f>
        <x:v>-640000</x:v>
      </x:c>
    </x:row>
    <x:row r="10">
      <x:c r="A10" s="22" t="str">
        <x:v>1055</x:v>
      </x:c>
      <x:c r="B10" s="23" t="str">
        <x:v>Trucker's Cost - Fuel</x:v>
      </x:c>
      <x:c r="C10" s="23" t="str">
        <x:v>Income</x:v>
      </x:c>
      <x:c r="D10" s="51" t="n">
        <x:f>IF(C10="Income",SUMIF('Trial Balance'!$A$3:$A$64,A10,'Trial Balance'!$J$3:$J$64)-SUMIF('Trial Balance'!$A$3:$A$64,A10,'Trial Balance'!$I$3:$I$64),SUMIF('Trial Balance'!$A$3:$A$64,A10,'Trial Balance'!$I$3:$I$64)-SUMIF('Trial Balance'!$A$3:$A$64,A10,'Trial Balance'!$J$3:$J$64))</x:f>
        <x:v>0</x:v>
      </x:c>
    </x:row>
    <x:row r="11">
      <x:c r="A11" s="22" t="str">
        <x:v>1056</x:v>
      </x:c>
      <x:c r="B11" s="23" t="str">
        <x:v>SALARIES &amp; WAGES</x:v>
      </x:c>
      <x:c r="C11" s="23" t="str">
        <x:v>Expenses</x:v>
      </x:c>
      <x:c r="D11" s="51" t="n">
        <x:f>IF(C11="Income",SUMIF('Trial Balance'!$A$3:$A$64,A11,'Trial Balance'!$J$3:$J$64)-SUMIF('Trial Balance'!$A$3:$A$64,A11,'Trial Balance'!$I$3:$I$64),SUMIF('Trial Balance'!$A$3:$A$64,A11,'Trial Balance'!$I$3:$I$64)-SUMIF('Trial Balance'!$A$3:$A$64,A11,'Trial Balance'!$J$3:$J$64))</x:f>
        <x:v>340000</x:v>
      </x:c>
    </x:row>
    <x:row r="12">
      <x:c r="A12" s="22" t="str">
        <x:v>1057</x:v>
      </x:c>
      <x:c r="B12" s="23" t="str">
        <x:v>Bank Charges</x:v>
      </x:c>
      <x:c r="C12" s="23" t="str">
        <x:v>Expenses</x:v>
      </x:c>
      <x:c r="D12" s="51" t="n">
        <x:f>IF(C12="Income",SUMIF('Trial Balance'!$A$3:$A$64,A12,'Trial Balance'!$J$3:$J$64)-SUMIF('Trial Balance'!$A$3:$A$64,A12,'Trial Balance'!$I$3:$I$64),SUMIF('Trial Balance'!$A$3:$A$64,A12,'Trial Balance'!$I$3:$I$64)-SUMIF('Trial Balance'!$A$3:$A$64,A12,'Trial Balance'!$J$3:$J$64))</x:f>
        <x:v>16000</x:v>
      </x:c>
    </x:row>
    <x:row r="13">
      <x:c r="A13" s="22" t="str">
        <x:v>1058</x:v>
      </x:c>
      <x:c r="B13" s="23" t="str">
        <x:v>Rent and utilities</x:v>
      </x:c>
      <x:c r="C13" s="23" t="str">
        <x:v>Expenses</x:v>
      </x:c>
      <x:c r="D13" s="51" t="n">
        <x:f>IF(C13="Income",SUMIF('Trial Balance'!$A$3:$A$64,A13,'Trial Balance'!$J$3:$J$64)-SUMIF('Trial Balance'!$A$3:$A$64,A13,'Trial Balance'!$I$3:$I$64),SUMIF('Trial Balance'!$A$3:$A$64,A13,'Trial Balance'!$I$3:$I$64)-SUMIF('Trial Balance'!$A$3:$A$64,A13,'Trial Balance'!$J$3:$J$64))</x:f>
        <x:v>90000</x:v>
      </x:c>
    </x:row>
    <x:row r="14">
      <x:c r="A14" s="22" t="str">
        <x:v>1059</x:v>
      </x:c>
      <x:c r="B14" s="23" t="str">
        <x:v>Travel and entertainment</x:v>
      </x:c>
      <x:c r="C14" s="23" t="str">
        <x:v>Expenses</x:v>
      </x:c>
      <x:c r="D14" s="51" t="n">
        <x:f>IF(C14="Income",SUMIF('Trial Balance'!$A$3:$A$64,A14,'Trial Balance'!$J$3:$J$64)-SUMIF('Trial Balance'!$A$3:$A$64,A14,'Trial Balance'!$I$3:$I$64),SUMIF('Trial Balance'!$A$3:$A$64,A14,'Trial Balance'!$I$3:$I$64)-SUMIF('Trial Balance'!$A$3:$A$64,A14,'Trial Balance'!$J$3:$J$64))</x:f>
        <x:v>40000</x:v>
      </x:c>
    </x:row>
    <x:row r="15">
      <x:c r="A15" s="22" t="str">
        <x:v>1060</x:v>
      </x:c>
      <x:c r="B15" s="23" t="str">
        <x:v>LEGAL &amp; PROFESSIONAL FEE</x:v>
      </x:c>
      <x:c r="C15" s="23" t="str">
        <x:v>Expenses</x:v>
      </x:c>
      <x:c r="D15" s="51" t="n">
        <x:f>IF(C15="Income",SUMIF('Trial Balance'!$A$3:$A$64,A15,'Trial Balance'!$J$3:$J$64)-SUMIF('Trial Balance'!$A$3:$A$64,A15,'Trial Balance'!$I$3:$I$64),SUMIF('Trial Balance'!$A$3:$A$64,A15,'Trial Balance'!$I$3:$I$64)-SUMIF('Trial Balance'!$A$3:$A$64,A15,'Trial Balance'!$J$3:$J$64))</x:f>
        <x:v>95000</x:v>
      </x:c>
    </x:row>
    <x:row r="16">
      <x:c r="A16" s="22" t="str">
        <x:v>1061</x:v>
      </x:c>
      <x:c r="B16" s="23" t="str">
        <x:v>Offline marketing and channel</x:v>
      </x:c>
      <x:c r="C16" s="23" t="str">
        <x:v>Expenses</x:v>
      </x:c>
      <x:c r="D16" s="51" t="n">
        <x:f>IF(C16="Income",SUMIF('Trial Balance'!$A$3:$A$64,A16,'Trial Balance'!$J$3:$J$64)-SUMIF('Trial Balance'!$A$3:$A$64,A16,'Trial Balance'!$I$3:$I$64),SUMIF('Trial Balance'!$A$3:$A$64,A16,'Trial Balance'!$I$3:$I$64)-SUMIF('Trial Balance'!$A$3:$A$64,A16,'Trial Balance'!$J$3:$J$64))</x:f>
        <x:v>110000</x:v>
      </x:c>
    </x:row>
    <x:row r="17">
      <x:c r="A17" s="22" t="str">
        <x:v>1062</x:v>
      </x:c>
      <x:c r="B17" s="23" t="str">
        <x:v>Call center</x:v>
      </x:c>
      <x:c r="C17" s="23" t="str">
        <x:v>Expenses</x:v>
      </x:c>
      <x:c r="D17" s="51" t="n">
        <x:f>IF(C17="Income",SUMIF('Trial Balance'!$A$3:$A$64,A17,'Trial Balance'!$J$3:$J$64)-SUMIF('Trial Balance'!$A$3:$A$64,A17,'Trial Balance'!$I$3:$I$64),SUMIF('Trial Balance'!$A$3:$A$64,A17,'Trial Balance'!$I$3:$I$64)-SUMIF('Trial Balance'!$A$3:$A$64,A17,'Trial Balance'!$J$3:$J$64))</x:f>
        <x:v>0</x:v>
      </x:c>
    </x:row>
    <x:row r="18">
      <x:c r="A18" s="22" t="str">
        <x:v>1063</x:v>
      </x:c>
      <x:c r="B18" s="23" t="str">
        <x:v>Auditors remuneration</x:v>
      </x:c>
      <x:c r="C18" s="23" t="str">
        <x:v>Expenses</x:v>
      </x:c>
      <x:c r="D18" s="51" t="n">
        <x:f>IF(C18="Income",SUMIF('Trial Balance'!$A$3:$A$64,A18,'Trial Balance'!$J$3:$J$64)-SUMIF('Trial Balance'!$A$3:$A$64,A18,'Trial Balance'!$I$3:$I$64),SUMIF('Trial Balance'!$A$3:$A$64,A18,'Trial Balance'!$I$3:$I$64)-SUMIF('Trial Balance'!$A$3:$A$64,A18,'Trial Balance'!$J$3:$J$64))</x:f>
        <x:v>0</x:v>
      </x:c>
    </x:row>
    <x:row r="19">
      <x:c r="A19" s="22" t="str">
        <x:v>1064</x:v>
      </x:c>
      <x:c r="B19" s="23" t="str">
        <x:v>Depreciation</x:v>
      </x:c>
      <x:c r="C19" s="23" t="str">
        <x:v>Expenses</x:v>
      </x:c>
      <x:c r="D19" s="51" t="n">
        <x:f>IF(C19="Income",SUMIF('Trial Balance'!$A$3:$A$64,A19,'Trial Balance'!$J$3:$J$64)-SUMIF('Trial Balance'!$A$3:$A$64,A19,'Trial Balance'!$I$3:$I$64),SUMIF('Trial Balance'!$A$3:$A$64,A19,'Trial Balance'!$I$3:$I$64)-SUMIF('Trial Balance'!$A$3:$A$64,A19,'Trial Balance'!$J$3:$J$64))</x:f>
        <x:v>50000</x:v>
      </x:c>
    </x:row>
    <x:row r="20">
      <x:c r="A20" s="22" t="str">
        <x:v>1065</x:v>
      </x:c>
      <x:c r="B20" s="23" t="str">
        <x:v>Other Income</x:v>
      </x:c>
      <x:c r="C20" s="23" t="str">
        <x:v>Income</x:v>
      </x:c>
      <x:c r="D20" s="51" t="n">
        <x:f>IF(C20="Income",SUMIF('Trial Balance'!$A$3:$A$64,A20,'Trial Balance'!$J$3:$J$64)-SUMIF('Trial Balance'!$A$3:$A$64,A20,'Trial Balance'!$I$3:$I$64),SUMIF('Trial Balance'!$A$3:$A$64,A20,'Trial Balance'!$I$3:$I$64)-SUMIF('Trial Balance'!$A$3:$A$64,A20,'Trial Balance'!$J$3:$J$64))</x:f>
        <x:v>0</x:v>
      </x:c>
    </x:row>
    <x:row r="21">
      <x:c r="A21" s="22" t="str">
        <x:v>1066</x:v>
      </x:c>
      <x:c r="B21" s="23" t="str">
        <x:v>Profit on PLS</x:v>
      </x:c>
      <x:c r="C21" s="23" t="str">
        <x:v>Income</x:v>
      </x:c>
      <x:c r="D21" s="51" t="n">
        <x:f>IF(C21="Income",SUMIF('Trial Balance'!$A$3:$A$64,A21,'Trial Balance'!$J$3:$J$64)-SUMIF('Trial Balance'!$A$3:$A$64,A21,'Trial Balance'!$I$3:$I$64),SUMIF('Trial Balance'!$A$3:$A$64,A21,'Trial Balance'!$I$3:$I$64)-SUMIF('Trial Balance'!$A$3:$A$64,A21,'Trial Balance'!$J$3:$J$64))</x:f>
        <x:v>14000</x:v>
      </x:c>
    </x:row>
    <x:row r="22">
      <x:c r="A22" s="22" t="str">
        <x:v>1067</x:v>
      </x:c>
      <x:c r="B22" s="23" t="str">
        <x:v>Amortization</x:v>
      </x:c>
      <x:c r="C22" s="23" t="str">
        <x:v>Expenses</x:v>
      </x:c>
      <x:c r="D22" s="51" t="n">
        <x:f>IF(C22="Income",SUMIF('Trial Balance'!$A$3:$A$64,A22,'Trial Balance'!$J$3:$J$64)-SUMIF('Trial Balance'!$A$3:$A$64,A22,'Trial Balance'!$I$3:$I$64),SUMIF('Trial Balance'!$A$3:$A$64,A22,'Trial Balance'!$I$3:$I$64)-SUMIF('Trial Balance'!$A$3:$A$64,A22,'Trial Balance'!$J$3:$J$64))</x:f>
        <x:v>0</x:v>
      </x:c>
    </x:row>
    <x:row r="23">
      <x:c r="A23" s="22" t="str">
        <x:v>1068</x:v>
      </x:c>
      <x:c r="B23" s="23" t="str">
        <x:v>Other Expenses</x:v>
      </x:c>
      <x:c r="C23" s="23" t="str">
        <x:v>Expenses</x:v>
      </x:c>
      <x:c r="D23" s="51" t="n">
        <x:f>IF(C23="Income",SUMIF('Trial Balance'!$A$3:$A$64,A23,'Trial Balance'!$J$3:$J$64)-SUMIF('Trial Balance'!$A$3:$A$64,A23,'Trial Balance'!$I$3:$I$64),SUMIF('Trial Balance'!$A$3:$A$64,A23,'Trial Balance'!$I$3:$I$64)-SUMIF('Trial Balance'!$A$3:$A$64,A23,'Trial Balance'!$J$3:$J$64))</x:f>
        <x:v>205000</x:v>
      </x:c>
    </x:row>
    <x:row r="24">
      <x:c r="A24" s="22" t="str">
        <x:v>1069</x:v>
      </x:c>
      <x:c r="B24" s="23" t="str">
        <x:v>Bank Charges</x:v>
      </x:c>
      <x:c r="C24" s="23" t="str">
        <x:v>Expenses</x:v>
      </x:c>
      <x:c r="D24" s="51" t="n">
        <x:f>IF(C24="Income",SUMIF('Trial Balance'!$A$3:$A$64,A24,'Trial Balance'!$J$3:$J$64)-SUMIF('Trial Balance'!$A$3:$A$64,A24,'Trial Balance'!$I$3:$I$64),SUMIF('Trial Balance'!$A$3:$A$64,A24,'Trial Balance'!$I$3:$I$64)-SUMIF('Trial Balance'!$A$3:$A$64,A24,'Trial Balance'!$J$3:$J$64))</x:f>
        <x:v>0</x:v>
      </x:c>
    </x:row>
    <x:row r="25">
      <x:c r="A25" s="22" t="str">
        <x:v>new code 2</x:v>
      </x:c>
      <x:c r="B25" s="23" t="str">
        <x:v>Loss on disposal</x:v>
      </x:c>
      <x:c r="C25" s="23" t="str">
        <x:v>Expenses</x:v>
      </x:c>
      <x:c r="D25" s="51" t="n">
        <x:f>IF(C25="Income",SUMIF('Trial Balance'!$A$3:$A$64,A25,'Trial Balance'!$J$3:$J$64)-SUMIF('Trial Balance'!$A$3:$A$64,A25,'Trial Balance'!$I$3:$I$64),SUMIF('Trial Balance'!$A$3:$A$64,A25,'Trial Balance'!$I$3:$I$64)-SUMIF('Trial Balance'!$A$3:$A$64,A25,'Trial Balance'!$J$3:$J$64))</x:f>
        <x:v>0</x:v>
      </x:c>
    </x:row>
    <x:row r="26">
      <x:c r="A26" s="22" t="str">
        <x:v>New code 1</x:v>
      </x:c>
      <x:c r="B26" s="23" t="str">
        <x:v>A Rec written off</x:v>
      </x:c>
      <x:c r="C26" s="23" t="str">
        <x:v>Expenses</x:v>
      </x:c>
      <x:c r="D26" s="51" t="n">
        <x:f>IF(C26="Income",SUMIF('Trial Balance'!$A$3:$A$64,A26,'Trial Balance'!$J$3:$J$64)-SUMIF('Trial Balance'!$A$3:$A$64,A26,'Trial Balance'!$I$3:$I$64),SUMIF('Trial Balance'!$A$3:$A$64,A26,'Trial Balance'!$I$3:$I$64)-SUMIF('Trial Balance'!$A$3:$A$64,A26,'Trial Balance'!$J$3:$J$64))</x:f>
        <x:v>0</x:v>
      </x:c>
    </x:row>
    <x:row r="27">
      <x:c r="A27" s="22" t="str">
        <x:v>New code 3</x:v>
      </x:c>
      <x:c r="B27" s="23" t="str">
        <x:v>Final tax levy</x:v>
      </x:c>
      <x:c r="C27" s="23" t="str">
        <x:v>Expenses</x:v>
      </x:c>
      <x:c r="D27" s="51" t="n">
        <x:f>IF(C27="Income",SUMIF('Trial Balance'!$A$3:$A$64,A27,'Trial Balance'!$J$3:$J$64)-SUMIF('Trial Balance'!$A$3:$A$64,A27,'Trial Balance'!$I$3:$I$64),SUMIF('Trial Balance'!$A$3:$A$64,A27,'Trial Balance'!$I$3:$I$64)-SUMIF('Trial Balance'!$A$3:$A$64,A27,'Trial Balance'!$J$3:$J$64))</x:f>
        <x:v>0</x:v>
      </x:c>
    </x:row>
    <x:row r="28">
      <x:c r="A28" s="22"/>
      <x:c r="B28" s="23"/>
      <x:c r="C28" s="23"/>
      <x:c r="D28" s="51"/>
    </x:row>
    <x:row r="29">
      <x:c r="A29" s="61" t="str">
        <x:v>Total Revenue and Other Income</x:v>
      </x:c>
      <x:c r="B29" s="62"/>
      <x:c r="C29" s="62"/>
      <x:c r="D29" s="67" t="n">
        <x:f>SUMIF(C3:C27,"Income",D3:D27)</x:f>
        <x:v>2224000</x:v>
      </x:c>
    </x:row>
    <x:row r="30">
      <x:c r="A30" s="61" t="str">
        <x:v>Total Expenses</x:v>
      </x:c>
      <x:c r="B30" s="62"/>
      <x:c r="C30" s="62"/>
      <x:c r="D30" s="67" t="n">
        <x:f>SUMIF(C3:C27,"Expenses",D3:D27)</x:f>
        <x:v>946000</x:v>
      </x:c>
    </x:row>
    <x:row r="31">
      <x:c r="A31" s="64" t="str">
        <x:v>Net Profit / (Loss)</x:v>
      </x:c>
      <x:c r="B31" s="65"/>
      <x:c r="C31" s="65"/>
      <x:c r="D31" s="68" t="n">
        <x:f>D29-D30</x:f>
        <x:v>1278000</x:v>
      </x:c>
    </x:row>
  </x:sheetData>
  <x:mergeCells>
    <x:mergeCell ref="A1:E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</x:cols>
  <x:sheetData>
    <x:row r="1" ht="26" customHeight="1">
      <x:c r="A1" s="3" t="str">
        <x:v>Cash Flow Statement — July 2025 (Direct Method)</x:v>
      </x:c>
    </x:row>
    <x:row r="2">
      <x:c r="A2" s="19" t="str">
        <x:v>Section</x:v>
      </x:c>
      <x:c r="B2" s="20" t="str">
        <x:v>Cash Flow Category</x:v>
      </x:c>
      <x:c r="C2" s="20" t="str">
        <x:v>Calculation</x:v>
      </x:c>
      <x:c r="D2" s="21" t="str">
        <x:v>Amount (PKR)</x:v>
      </x:c>
    </x:row>
    <x:row r="3">
      <x:c r="A3" s="22" t="str">
        <x:v>Operating</x:v>
      </x:c>
      <x:c r="B3" s="23" t="str">
        <x:v>Operating - Receipts</x:v>
      </x:c>
      <x:c r="C3" s="23" t="str">
        <x:v>Bank credits classified as operating receipts</x:v>
      </x:c>
      <x:c r="D3" s="51" t="n">
        <x:f>SUMIF('Transaction Mapping'!$T$3:$T$42,B3,'Transaction Mapping'!$G$3:$G$42)-SUMIF('Transaction Mapping'!$T$3:$T$42,B3,'Transaction Mapping'!$F$3:$F$42)</x:f>
        <x:v>2944000</x:v>
      </x:c>
    </x:row>
    <x:row r="4">
      <x:c r="A4" s="22" t="str">
        <x:v>Operating</x:v>
      </x:c>
      <x:c r="B4" s="23" t="str">
        <x:v>Operating - Payments</x:v>
      </x:c>
      <x:c r="C4" s="23" t="str">
        <x:v>Bank debits classified as operating payments</x:v>
      </x:c>
      <x:c r="D4" s="51" t="n">
        <x:f>SUMIF('Transaction Mapping'!$T$3:$T$42,B4,'Transaction Mapping'!$G$3:$G$42)-SUMIF('Transaction Mapping'!$T$3:$T$42,B4,'Transaction Mapping'!$F$3:$F$42)</x:f>
        <x:v>-1775000</x:v>
      </x:c>
    </x:row>
    <x:row r="5">
      <x:c r="A5" s="22" t="str">
        <x:v>Investing</x:v>
      </x:c>
      <x:c r="B5" s="23" t="str">
        <x:v>Investing - Receipts</x:v>
      </x:c>
      <x:c r="C5" s="23" t="str">
        <x:v>Investing receipts</x:v>
      </x:c>
      <x:c r="D5" s="51" t="n">
        <x:f>SUMIF('Transaction Mapping'!$T$3:$T$42,B5,'Transaction Mapping'!$G$3:$G$42)-SUMIF('Transaction Mapping'!$T$3:$T$42,B5,'Transaction Mapping'!$F$3:$F$42)</x:f>
        <x:v>0</x:v>
      </x:c>
    </x:row>
    <x:row r="6">
      <x:c r="A6" s="22" t="str">
        <x:v>Investing</x:v>
      </x:c>
      <x:c r="B6" s="23" t="str">
        <x:v>Investing - Payments</x:v>
      </x:c>
      <x:c r="C6" s="23" t="str">
        <x:v>Investing payments</x:v>
      </x:c>
      <x:c r="D6" s="51" t="n">
        <x:f>SUMIF('Transaction Mapping'!$T$3:$T$42,B6,'Transaction Mapping'!$G$3:$G$42)-SUMIF('Transaction Mapping'!$T$3:$T$42,B6,'Transaction Mapping'!$F$3:$F$42)</x:f>
        <x:v>-120000</x:v>
      </x:c>
    </x:row>
    <x:row r="7">
      <x:c r="A7" s="22" t="str">
        <x:v>Financing</x:v>
      </x:c>
      <x:c r="B7" s="23" t="str">
        <x:v>Financing - Receipts</x:v>
      </x:c>
      <x:c r="C7" s="23" t="str">
        <x:v>Financing receipts</x:v>
      </x:c>
      <x:c r="D7" s="51" t="n">
        <x:f>SUMIF('Transaction Mapping'!$T$3:$T$42,B7,'Transaction Mapping'!$G$3:$G$42)-SUMIF('Transaction Mapping'!$T$3:$T$42,B7,'Transaction Mapping'!$F$3:$F$42)</x:f>
        <x:v>500000</x:v>
      </x:c>
    </x:row>
    <x:row r="8">
      <x:c r="A8" s="22" t="str">
        <x:v>Financing</x:v>
      </x:c>
      <x:c r="B8" s="23" t="str">
        <x:v>Financing - Payments</x:v>
      </x:c>
      <x:c r="C8" s="23" t="str">
        <x:v>Financing payments</x:v>
      </x:c>
      <x:c r="D8" s="51" t="n">
        <x:f>SUMIF('Transaction Mapping'!$T$3:$T$42,B8,'Transaction Mapping'!$G$3:$G$42)-SUMIF('Transaction Mapping'!$T$3:$T$42,B8,'Transaction Mapping'!$F$3:$F$42)</x:f>
        <x:v>-150000</x:v>
      </x:c>
    </x:row>
    <x:row r="9">
      <x:c r="A9" s="22" t="str">
        <x:v>Transfer</x:v>
      </x:c>
      <x:c r="B9" s="23" t="str">
        <x:v>Transfer</x:v>
      </x:c>
      <x:c r="C9" s="23" t="str">
        <x:v>Internal transfers (net zero)</x:v>
      </x:c>
      <x:c r="D9" s="51" t="n">
        <x:f>SUMIF('Transaction Mapping'!$T$3:$T$42,B9,'Transaction Mapping'!$G$3:$G$42)-SUMIF('Transaction Mapping'!$T$3:$T$42,B9,'Transaction Mapping'!$F$3:$F$42)</x:f>
        <x:v>0</x:v>
      </x:c>
    </x:row>
    <x:row r="10">
      <x:c r="A10" s="22"/>
      <x:c r="B10" s="23"/>
      <x:c r="C10" s="23"/>
      <x:c r="D10" s="51"/>
    </x:row>
    <x:row r="11">
      <x:c r="A11" s="54" t="str">
        <x:v>Net change in cash</x:v>
      </x:c>
      <x:c r="B11" s="55"/>
      <x:c r="C11" s="55"/>
      <x:c r="D11" s="71" t="n">
        <x:f>SUM(D3:D9)</x:f>
        <x:v>1399000</x:v>
      </x:c>
    </x:row>
    <x:row r="12">
      <x:c r="A12" s="54" t="str">
        <x:v>Opening cash</x:v>
      </x:c>
      <x:c r="B12" s="55"/>
      <x:c r="C12" s="55"/>
      <x:c r="D12" s="71" t="n">
        <x:f>SUMIF('Opening Balances'!$A$3:$A$64,1028,'Opening Balances'!$D$3:$D$64)+SUMIF('Opening Balances'!$A$3:$A$64,1029,'Opening Balances'!$D$3:$D$64)+SUMIF('Opening Balances'!$A$3:$A$64,1030,'Opening Balances'!$D$3:$D$64)+SUMIF('Opening Balances'!$A$3:$A$64,1031,'Opening Balances'!$D$3:$D$64)</x:f>
        <x:v>3800000</x:v>
      </x:c>
    </x:row>
    <x:row r="13">
      <x:c r="A13" s="54" t="str">
        <x:v>Ending cash</x:v>
      </x:c>
      <x:c r="B13" s="55"/>
      <x:c r="C13" s="55"/>
      <x:c r="D13" s="71" t="n">
        <x:f>D11+D12</x:f>
        <x:v>5199000</x:v>
      </x:c>
    </x:row>
    <x:row r="14">
      <x:c r="A14" s="54" t="str">
        <x:v>Balance Sheet cash</x:v>
      </x:c>
      <x:c r="B14" s="55"/>
      <x:c r="C14" s="55"/>
      <x:c r="D14" s="71" t="n">
        <x:f>SUMIF('Trial Balance'!$A$3:$A$64,1028,'Trial Balance'!$I$3:$I$64)+SUMIF('Trial Balance'!$A$3:$A$64,1029,'Trial Balance'!$I$3:$I$64)+SUMIF('Trial Balance'!$A$3:$A$64,1030,'Trial Balance'!$I$3:$I$64)+SUMIF('Trial Balance'!$A$3:$A$64,1031,'Trial Balance'!$I$3:$I$64)-SUMIF('Trial Balance'!$A$3:$A$64,1028,'Trial Balance'!$J$3:$J$64)-SUMIF('Trial Balance'!$A$3:$A$64,1029,'Trial Balance'!$J$3:$J$64)-SUMIF('Trial Balance'!$A$3:$A$64,1030,'Trial Balance'!$J$3:$J$64)-SUMIF('Trial Balance'!$A$3:$A$64,1031,'Trial Balance'!$J$3:$J$64)</x:f>
        <x:v>5199000</x:v>
      </x:c>
    </x:row>
    <x:row r="15">
      <x:c r="A15" s="56" t="str">
        <x:v>Cash Flow Check</x:v>
      </x:c>
      <x:c r="B15" s="57"/>
      <x:c r="C15" s="57"/>
      <x:c r="D15" s="72" t="n">
        <x:f>D13-D14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2" hidden="0" customWidth="1"/>
  </x:cols>
  <x:sheetData>
    <x:row r="1" ht="26" customHeight="1">
      <x:c r="A1" s="3" t="str">
        <x:v>Bank Reconciliation — Statement Closing Balances</x:v>
      </x:c>
    </x:row>
    <x:row r="2">
      <x:c r="A2" s="19" t="str">
        <x:v>Bank Statement</x:v>
      </x:c>
      <x:c r="B2" s="20" t="str">
        <x:v>Bank GL Code</x:v>
      </x:c>
      <x:c r="C2" s="20" t="str">
        <x:v>Opening Balance</x:v>
      </x:c>
      <x:c r="D2" s="20" t="str">
        <x:v>Statement Closing</x:v>
      </x:c>
      <x:c r="E2" s="20" t="str">
        <x:v>GL Closing</x:v>
      </x:c>
      <x:c r="F2" s="20" t="str">
        <x:v>Difference</x:v>
      </x:c>
      <x:c r="G2" s="21" t="str">
        <x:v>Status</x:v>
      </x:c>
    </x:row>
    <x:row r="3">
      <x:c r="A3" s="22" t="str">
        <x:v>HBL Main</x:v>
      </x:c>
      <x:c r="B3" s="23" t="str">
        <x:v>1029</x:v>
      </x:c>
      <x:c r="C3" s="30" t="n">
        <x:v>650000</x:v>
      </x:c>
      <x:c r="D3" s="30" t="n">
        <x:f>'Bank 01 - HBL Main'!G10</x:f>
        <x:v>725000</x:v>
      </x:c>
      <x:c r="E3" s="30" t="n">
        <x:f>SUMIF('Transaction Mapping'!$B$3:$B$42,A3,'Transaction Mapping'!$G$3:$G$42)-SUMIF('Transaction Mapping'!$B$3:$B$42,A3,'Transaction Mapping'!$F$3:$F$42)+C3</x:f>
        <x:v>725000</x:v>
      </x:c>
      <x:c r="F3" s="30" t="n">
        <x:f>D3-E3</x:f>
        <x:v>0</x:v>
      </x:c>
      <x:c r="G3" s="24" t="str">
        <x:f>IF(ABS(F3)&lt;1,"PASS","FAIL")</x:f>
        <x:v>PASS</x:v>
      </x:c>
    </x:row>
    <x:row r="4">
      <x:c r="A4" s="22" t="str">
        <x:v>Meezan Payroll</x:v>
      </x:c>
      <x:c r="B4" s="23" t="str">
        <x:v>1030</x:v>
      </x:c>
      <x:c r="C4" s="30" t="n">
        <x:v>600000</x:v>
      </x:c>
      <x:c r="D4" s="30" t="n">
        <x:f>'Bank 02 - Meezan Payroll'!G10</x:f>
        <x:v>605000</x:v>
      </x:c>
      <x:c r="E4" s="30" t="n">
        <x:f>SUMIF('Transaction Mapping'!$B$3:$B$42,A4,'Transaction Mapping'!$G$3:$G$42)-SUMIF('Transaction Mapping'!$B$3:$B$42,A4,'Transaction Mapping'!$F$3:$F$42)+C4</x:f>
        <x:v>605000</x:v>
      </x:c>
      <x:c r="F4" s="30" t="n">
        <x:f>D4-E4</x:f>
        <x:v>0</x:v>
      </x:c>
      <x:c r="G4" s="24" t="str">
        <x:f>IF(ABS(F4)&lt;1,"PASS","FAIL")</x:f>
        <x:v>PASS</x:v>
      </x:c>
    </x:row>
    <x:row r="5">
      <x:c r="A5" s="22" t="str">
        <x:v>UBL Collections</x:v>
      </x:c>
      <x:c r="B5" s="23" t="str">
        <x:v>1028</x:v>
      </x:c>
      <x:c r="C5" s="30" t="n">
        <x:v>300000</x:v>
      </x:c>
      <x:c r="D5" s="30" t="n">
        <x:f>'Bank 03 - UBL Collections'!G10</x:f>
        <x:v>540000</x:v>
      </x:c>
      <x:c r="E5" s="30" t="n">
        <x:f>SUMIF('Transaction Mapping'!$B$3:$B$42,A5,'Transaction Mapping'!$G$3:$G$42)-SUMIF('Transaction Mapping'!$B$3:$B$42,A5,'Transaction Mapping'!$F$3:$F$42)+C5</x:f>
        <x:v>540000</x:v>
      </x:c>
      <x:c r="F5" s="30" t="n">
        <x:f>D5-E5</x:f>
        <x:v>0</x:v>
      </x:c>
      <x:c r="G5" s="24" t="str">
        <x:f>IF(ABS(F5)&lt;1,"PASS","FAIL")</x:f>
        <x:v>PASS</x:v>
      </x:c>
    </x:row>
    <x:row r="6">
      <x:c r="A6" s="22" t="str">
        <x:v>MCB Reserve</x:v>
      </x:c>
      <x:c r="B6" s="23" t="str">
        <x:v>1031</x:v>
      </x:c>
      <x:c r="C6" s="30" t="n">
        <x:v>600000</x:v>
      </x:c>
      <x:c r="D6" s="30" t="n">
        <x:f>'Bank 04 - MCB Reserve'!G11</x:f>
        <x:v>652000</x:v>
      </x:c>
      <x:c r="E6" s="30" t="n">
        <x:f>SUMIF('Transaction Mapping'!$B$3:$B$42,A6,'Transaction Mapping'!$G$3:$G$42)-SUMIF('Transaction Mapping'!$B$3:$B$42,A6,'Transaction Mapping'!$F$3:$F$42)+C6</x:f>
        <x:v>652000</x:v>
      </x:c>
      <x:c r="F6" s="30" t="n">
        <x:f>D6-E6</x:f>
        <x:v>0</x:v>
      </x:c>
      <x:c r="G6" s="24" t="str">
        <x:f>IF(ABS(F6)&lt;1,"PASS","FAIL")</x:f>
        <x:v>PASS</x:v>
      </x:c>
    </x:row>
    <x:row r="7">
      <x:c r="A7" s="22" t="str">
        <x:v>HBL North</x:v>
      </x:c>
      <x:c r="B7" s="23" t="str">
        <x:v>1029</x:v>
      </x:c>
      <x:c r="C7" s="30" t="n">
        <x:v>300000</x:v>
      </x:c>
      <x:c r="D7" s="30" t="n">
        <x:f>'Bank 05 - HBL North'!G10</x:f>
        <x:v>595000</x:v>
      </x:c>
      <x:c r="E7" s="30" t="n">
        <x:f>SUMIF('Transaction Mapping'!$B$3:$B$42,A7,'Transaction Mapping'!$G$3:$G$42)-SUMIF('Transaction Mapping'!$B$3:$B$42,A7,'Transaction Mapping'!$F$3:$F$42)+C7</x:f>
        <x:v>595000</x:v>
      </x:c>
      <x:c r="F7" s="30" t="n">
        <x:f>D7-E7</x:f>
        <x:v>0</x:v>
      </x:c>
      <x:c r="G7" s="24" t="str">
        <x:f>IF(ABS(F7)&lt;1,"PASS","FAIL")</x:f>
        <x:v>PASS</x:v>
      </x:c>
    </x:row>
    <x:row r="8">
      <x:c r="A8" s="22" t="str">
        <x:v>Meezan Corporate</x:v>
      </x:c>
      <x:c r="B8" s="23" t="str">
        <x:v>1030</x:v>
      </x:c>
      <x:c r="C8" s="30" t="n">
        <x:v>400000</x:v>
      </x:c>
      <x:c r="D8" s="30" t="n">
        <x:f>'Bank 06 - Meezan Corporate'!G10</x:f>
        <x:v>420000</x:v>
      </x:c>
      <x:c r="E8" s="30" t="n">
        <x:f>SUMIF('Transaction Mapping'!$B$3:$B$42,A8,'Transaction Mapping'!$G$3:$G$42)-SUMIF('Transaction Mapping'!$B$3:$B$42,A8,'Transaction Mapping'!$F$3:$F$42)+C8</x:f>
        <x:v>420000</x:v>
      </x:c>
      <x:c r="F8" s="30" t="n">
        <x:f>D8-E8</x:f>
        <x:v>0</x:v>
      </x:c>
      <x:c r="G8" s="24" t="str">
        <x:f>IF(ABS(F8)&lt;1,"PASS","FAIL")</x:f>
        <x:v>PASS</x:v>
      </x:c>
    </x:row>
    <x:row r="9">
      <x:c r="A9" s="22" t="str">
        <x:v>UBL Operations</x:v>
      </x:c>
      <x:c r="B9" s="23" t="str">
        <x:v>1028</x:v>
      </x:c>
      <x:c r="C9" s="30" t="n">
        <x:v>200000</x:v>
      </x:c>
      <x:c r="D9" s="30" t="n">
        <x:f>'Bank 07 - UBL Operations'!G10</x:f>
        <x:v>110000</x:v>
      </x:c>
      <x:c r="E9" s="30" t="n">
        <x:f>SUMIF('Transaction Mapping'!$B$3:$B$42,A9,'Transaction Mapping'!$G$3:$G$42)-SUMIF('Transaction Mapping'!$B$3:$B$42,A9,'Transaction Mapping'!$F$3:$F$42)+C9</x:f>
        <x:v>110000</x:v>
      </x:c>
      <x:c r="F9" s="30" t="n">
        <x:f>D9-E9</x:f>
        <x:v>0</x:v>
      </x:c>
      <x:c r="G9" s="24" t="str">
        <x:f>IF(ABS(F9)&lt;1,"PASS","FAIL")</x:f>
        <x:v>PASS</x:v>
      </x:c>
    </x:row>
    <x:row r="10">
      <x:c r="A10" s="22" t="str">
        <x:v>MCB Corporate</x:v>
      </x:c>
      <x:c r="B10" s="23" t="str">
        <x:v>1031</x:v>
      </x:c>
      <x:c r="C10" s="30" t="n">
        <x:v>200000</x:v>
      </x:c>
      <x:c r="D10" s="30" t="n">
        <x:f>'Bank 08 - MCB Corporate'!G9</x:f>
        <x:v>450000</x:v>
      </x:c>
      <x:c r="E10" s="30" t="n">
        <x:f>SUMIF('Transaction Mapping'!$B$3:$B$42,A10,'Transaction Mapping'!$G$3:$G$42)-SUMIF('Transaction Mapping'!$B$3:$B$42,A10,'Transaction Mapping'!$F$3:$F$42)+C10</x:f>
        <x:v>450000</x:v>
      </x:c>
      <x:c r="F10" s="30" t="n">
        <x:f>D10-E10</x:f>
        <x:v>0</x:v>
      </x:c>
      <x:c r="G10" s="24" t="str">
        <x:f>IF(ABS(F10)&lt;1,"PASS","FAIL")</x:f>
        <x:v>PASS</x:v>
      </x:c>
    </x:row>
    <x:row r="11">
      <x:c r="A11" s="22" t="str">
        <x:v>HBL Reserve</x:v>
      </x:c>
      <x:c r="B11" s="23" t="str">
        <x:v>1029</x:v>
      </x:c>
      <x:c r="C11" s="30" t="n">
        <x:v>300000</x:v>
      </x:c>
      <x:c r="D11" s="30" t="n">
        <x:f>'Bank 09 - HBL Reserve'!G10</x:f>
        <x:v>570000</x:v>
      </x:c>
      <x:c r="E11" s="30" t="n">
        <x:f>SUMIF('Transaction Mapping'!$B$3:$B$42,A11,'Transaction Mapping'!$G$3:$G$42)-SUMIF('Transaction Mapping'!$B$3:$B$42,A11,'Transaction Mapping'!$F$3:$F$42)+C11</x:f>
        <x:v>570000</x:v>
      </x:c>
      <x:c r="F11" s="30" t="n">
        <x:f>D11-E11</x:f>
        <x:v>0</x:v>
      </x:c>
      <x:c r="G11" s="24" t="str">
        <x:f>IF(ABS(F11)&lt;1,"PASS","FAIL")</x:f>
        <x:v>PASS</x:v>
      </x:c>
    </x:row>
    <x:row r="12">
      <x:c r="A12" s="22" t="str">
        <x:v>HBL Digital</x:v>
      </x:c>
      <x:c r="B12" s="23" t="str">
        <x:v>1029</x:v>
      </x:c>
      <x:c r="C12" s="30" t="n">
        <x:v>250000</x:v>
      </x:c>
      <x:c r="D12" s="30" t="n">
        <x:f>'Bank 10 - HBL Digital'!G10</x:f>
        <x:v>532000</x:v>
      </x:c>
      <x:c r="E12" s="30" t="n">
        <x:f>SUMIF('Transaction Mapping'!$B$3:$B$42,A12,'Transaction Mapping'!$G$3:$G$42)-SUMIF('Transaction Mapping'!$B$3:$B$42,A12,'Transaction Mapping'!$F$3:$F$42)+C12</x:f>
        <x:v>532000</x:v>
      </x:c>
      <x:c r="F12" s="30" t="n">
        <x:f>D12-E12</x:f>
        <x:v>0</x:v>
      </x:c>
      <x:c r="G12" s="24" t="str">
        <x:f>IF(ABS(F12)&lt;1,"PASS","FAIL")</x:f>
        <x:v>PASS</x:v>
      </x:c>
    </x:row>
    <x:row r="13">
      <x:c r="A13" s="56" t="str">
        <x:v>Total</x:v>
      </x:c>
      <x:c r="B13" s="57"/>
      <x:c r="C13" s="59" t="n">
        <x:f>SUM(C3:C12)</x:f>
        <x:v>3800000</x:v>
      </x:c>
      <x:c r="D13" s="59" t="n">
        <x:f>SUM(D3:D12)</x:f>
        <x:v>5199000</x:v>
      </x:c>
      <x:c r="E13" s="59" t="n">
        <x:f>SUM(E3:E12)</x:f>
        <x:v>5199000</x:v>
      </x:c>
      <x:c r="F13" s="59" t="n">
        <x:f>D13-E13</x:f>
        <x:v>0</x:v>
      </x:c>
      <x:c r="G13" s="70" t="str">
        <x:f>IF(ABS(F13)&lt;1,"PASS","FAIL")</x:f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2" hidden="0" customWidth="1"/>
    <x:col min="7" max="7" width="24" hidden="0" customWidth="1"/>
  </x:cols>
  <x:sheetData>
    <x:row r="1" ht="26" customHeight="1">
      <x:c r="A1" s="3" t="str">
        <x:v>Accounting Reconciliation Checks</x:v>
      </x:c>
    </x:row>
    <x:row r="2">
      <x:c r="A2" s="19" t="str">
        <x:v>Check</x:v>
      </x:c>
      <x:c r="B2" s="20" t="str">
        <x:v>Actual</x:v>
      </x:c>
      <x:c r="C2" s="20" t="str">
        <x:v>Expected</x:v>
      </x:c>
      <x:c r="D2" s="20" t="str">
        <x:v>Difference</x:v>
      </x:c>
      <x:c r="E2" s="20" t="str">
        <x:v>Tolerance</x:v>
      </x:c>
      <x:c r="F2" s="20" t="str">
        <x:v>Status</x:v>
      </x:c>
      <x:c r="G2" s="21" t="str">
        <x:v>Where to Fix</x:v>
      </x:c>
    </x:row>
    <x:row r="3">
      <x:c r="A3" s="22" t="str">
        <x:v>Journal debits = credits</x:v>
      </x:c>
      <x:c r="B3" s="30" t="n">
        <x:f>SUM('Journal Entries'!$H$3:$H$84)</x:f>
        <x:v>7539000</x:v>
      </x:c>
      <x:c r="C3" s="30" t="n">
        <x:f>SUM('Journal Entries'!$I$3:$I$84)</x:f>
        <x:v>7539000</x:v>
      </x:c>
      <x:c r="D3" s="30" t="n">
        <x:f>B3-C3</x:f>
        <x:v>0</x:v>
      </x:c>
      <x:c r="E3" s="30" t="n">
        <x:v>1</x:v>
      </x:c>
      <x:c r="F3" s="23" t="str">
        <x:f>IF(ABS(D3)&lt;=E3,"PASS","FAIL")</x:f>
        <x:v>PASS</x:v>
      </x:c>
      <x:c r="G3" s="24" t="str">
        <x:v>Journal Entries</x:v>
      </x:c>
    </x:row>
    <x:row r="4">
      <x:c r="A4" s="22" t="str">
        <x:v>Trial Balance closing debits = credits</x:v>
      </x:c>
      <x:c r="B4" s="30" t="n">
        <x:f>'Trial Balance'!I65</x:f>
        <x:v>10522000</x:v>
      </x:c>
      <x:c r="C4" s="30" t="n">
        <x:f>'Trial Balance'!J65</x:f>
        <x:v>10522000</x:v>
      </x:c>
      <x:c r="D4" s="30" t="n">
        <x:f>B4-C4</x:f>
        <x:v>0</x:v>
      </x:c>
      <x:c r="E4" s="30" t="n">
        <x:v>1</x:v>
      </x:c>
      <x:c r="F4" s="23" t="str">
        <x:f>IF(ABS(D4)&lt;=E4,"PASS","FAIL")</x:f>
        <x:v>PASS</x:v>
      </x:c>
      <x:c r="G4" s="24" t="str">
        <x:v>Trial Balance</x:v>
      </x:c>
    </x:row>
    <x:row r="5">
      <x:c r="A5" s="22" t="str">
        <x:v>All 10 bank statements reconcile</x:v>
      </x:c>
      <x:c r="B5" s="30" t="n">
        <x:f>'Bank Reconciliation'!F13</x:f>
        <x:v>0</x:v>
      </x:c>
      <x:c r="C5" s="30" t="n">
        <x:f>0</x:f>
        <x:v>0</x:v>
      </x:c>
      <x:c r="D5" s="30" t="n">
        <x:f>B5-C5</x:f>
        <x:v>0</x:v>
      </x:c>
      <x:c r="E5" s="30" t="n">
        <x:v>1</x:v>
      </x:c>
      <x:c r="F5" s="23" t="str">
        <x:f>IF(ABS(D5)&lt;=E5,"PASS","FAIL")</x:f>
        <x:v>PASS</x:v>
      </x:c>
      <x:c r="G5" s="24" t="str">
        <x:v>Bank Reconciliation</x:v>
      </x:c>
    </x:row>
    <x:row r="6">
      <x:c r="A6" s="22" t="str">
        <x:v>Assets = liabilities + equity</x:v>
      </x:c>
      <x:c r="B6" s="30" t="n">
        <x:f>'Balance Sheet'!D41</x:f>
        <x:v>8786000</x:v>
      </x:c>
      <x:c r="C6" s="30" t="n">
        <x:f>'Balance Sheet'!D45</x:f>
        <x:v>8786000</x:v>
      </x:c>
      <x:c r="D6" s="30" t="n">
        <x:f>B6-C6</x:f>
        <x:v>0</x:v>
      </x:c>
      <x:c r="E6" s="30" t="n">
        <x:v>1</x:v>
      </x:c>
      <x:c r="F6" s="23" t="str">
        <x:f>IF(ABS(D6)&lt;=E6,"PASS","FAIL")</x:f>
        <x:v>PASS</x:v>
      </x:c>
      <x:c r="G6" s="24" t="str">
        <x:v>Balance Sheet</x:v>
      </x:c>
    </x:row>
    <x:row r="7">
      <x:c r="A7" s="22" t="str">
        <x:v>Cash Flow ending cash = Balance Sheet cash</x:v>
      </x:c>
      <x:c r="B7" s="30" t="n">
        <x:f>'Cash Flow Statement'!D13</x:f>
        <x:v>5199000</x:v>
      </x:c>
      <x:c r="C7" s="30" t="n">
        <x:f>'Cash Flow Statement'!D14</x:f>
        <x:v>5199000</x:v>
      </x:c>
      <x:c r="D7" s="30" t="n">
        <x:f>B7-C7</x:f>
        <x:v>0</x:v>
      </x:c>
      <x:c r="E7" s="30" t="n">
        <x:v>1</x:v>
      </x:c>
      <x:c r="F7" s="23" t="str">
        <x:f>IF(ABS(D7)&lt;=E7,"PASS","FAIL")</x:f>
        <x:v>PASS</x:v>
      </x:c>
      <x:c r="G7" s="24" t="str">
        <x:v>Cash Flow Statement</x:v>
      </x:c>
    </x:row>
    <x:row r="8">
      <x:c r="A8" s="22" t="str">
        <x:v>Missing FS tags</x:v>
      </x:c>
      <x:c r="B8" s="30" t="n">
        <x:f>COUNTIF('Transaction Mapping'!$V$3:$V$42,"")</x:f>
        <x:v>0</x:v>
      </x:c>
      <x:c r="C8" s="30" t="n">
        <x:f>0</x:f>
        <x:v>0</x:v>
      </x:c>
      <x:c r="D8" s="30" t="n">
        <x:f>B8-C8</x:f>
        <x:v>0</x:v>
      </x:c>
      <x:c r="E8" s="30" t="n">
        <x:v>1</x:v>
      </x:c>
      <x:c r="F8" s="23" t="str">
        <x:f>IF(ABS(D8)&lt;=E8,"PASS","FAIL")</x:f>
        <x:v>PASS</x:v>
      </x:c>
      <x:c r="G8" s="24" t="str">
        <x:v>Transaction Mapping</x:v>
      </x:c>
    </x:row>
    <x:row r="9">
      <x:c r="A9" s="22"/>
      <x:c r="B9" s="23"/>
      <x:c r="C9" s="23"/>
      <x:c r="D9" s="23"/>
      <x:c r="E9" s="23"/>
      <x:c r="F9" s="23"/>
      <x:c r="G9" s="24"/>
    </x:row>
    <x:row r="10">
      <x:c r="A10" s="22"/>
      <x:c r="B10" s="23"/>
      <x:c r="C10" s="23"/>
      <x:c r="D10" s="23"/>
      <x:c r="E10" s="23"/>
      <x:c r="F10" s="23"/>
      <x:c r="G10" s="24"/>
    </x:row>
    <x:row r="11">
      <x:c r="A11" s="88" t="str">
        <x:v>MODEL STATUS</x:v>
      </x:c>
      <x:c r="B11" s="89"/>
      <x:c r="C11" s="89"/>
      <x:c r="D11" s="89"/>
      <x:c r="E11" s="89"/>
      <x:c r="F11" s="89" t="str">
        <x:f>IF(COUNTIF(F3:F8,"FAIL")=0,"PASS","FAIL")</x:f>
        <x:v>PASS</x:v>
      </x:c>
      <x:c r="G11" s="90"/>
    </x:row>
  </x:sheetData>
  <x:mergeCells>
    <x:mergeCell ref="A1:G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40" hidden="0" customWidth="1"/>
  </x:cols>
  <x:sheetData>
    <x:row r="1" ht="26" customHeight="1">
      <x:c r="A1" s="3" t="str">
        <x:v>FS Tag Registry — Approved Names and Codes</x:v>
      </x:c>
    </x:row>
    <x:row r="2">
      <x:c r="A2" s="19" t="str">
        <x:v>FS Taggings name</x:v>
      </x:c>
      <x:c r="B2" s="20" t="str">
        <x:v>FS Tag</x:v>
      </x:c>
      <x:c r="C2" s="21" t="str">
        <x:v>Usage</x:v>
      </x:c>
    </x:row>
    <x:row r="3">
      <x:c r="A3" s="22" t="str">
        <x:v>Intercompany</x:v>
      </x:c>
      <x:c r="B3" s="23" t="str">
        <x:v>FS-000001</x:v>
      </x:c>
      <x:c r="C3" s="24" t="str">
        <x:v>Bank statement transaction tagging</x:v>
      </x:c>
    </x:row>
    <x:row r="4">
      <x:c r="A4" s="22" t="str">
        <x:v>Recovery</x:v>
      </x:c>
      <x:c r="B4" s="23" t="str">
        <x:v>FS-000002</x:v>
      </x:c>
      <x:c r="C4" s="24" t="str">
        <x:v>Bank statement transaction tagging</x:v>
      </x:c>
    </x:row>
    <x:row r="5">
      <x:c r="A5" s="22" t="str">
        <x:v>Vendor Payout</x:v>
      </x:c>
      <x:c r="B5" s="23" t="str">
        <x:v>FS-000003</x:v>
      </x:c>
      <x:c r="C5" s="24" t="str">
        <x:v>Bank statement transaction tagging</x:v>
      </x:c>
    </x:row>
    <x:row r="6">
      <x:c r="A6" s="22" t="str">
        <x:v>Holdco</x:v>
      </x:c>
      <x:c r="B6" s="23" t="str">
        <x:v>FS-000004</x:v>
      </x:c>
      <x:c r="C6" s="24" t="str">
        <x:v>Bank statement transaction tagging</x:v>
      </x:c>
    </x:row>
    <x:row r="7">
      <x:c r="A7" s="22" t="str">
        <x:v>Loan</x:v>
      </x:c>
      <x:c r="B7" s="23" t="str">
        <x:v>FS-000005</x:v>
      </x:c>
      <x:c r="C7" s="24" t="str">
        <x:v>Bank statement transaction tagging</x:v>
      </x:c>
    </x:row>
    <x:row r="8">
      <x:c r="A8" s="22" t="str">
        <x:v>Commission</x:v>
      </x:c>
      <x:c r="B8" s="23" t="str">
        <x:v>FS-000006</x:v>
      </x:c>
      <x:c r="C8" s="24" t="str">
        <x:v>Bank statement transaction tagging</x:v>
      </x:c>
    </x:row>
    <x:row r="9">
      <x:c r="A9" s="22" t="str">
        <x:v>Security Deposit</x:v>
      </x:c>
      <x:c r="B9" s="23" t="str">
        <x:v>FS-000007</x:v>
      </x:c>
      <x:c r="C9" s="24" t="str">
        <x:v>Bank statement transaction tagging</x:v>
      </x:c>
    </x:row>
    <x:row r="10">
      <x:c r="A10" s="22" t="str">
        <x:v>Bank Charges</x:v>
      </x:c>
      <x:c r="B10" s="23" t="str">
        <x:v>FS-000008</x:v>
      </x:c>
      <x:c r="C10" s="24" t="str">
        <x:v>Bank statement transaction tagging</x:v>
      </x:c>
    </x:row>
    <x:row r="11">
      <x:c r="A11" s="22" t="str">
        <x:v>Partners Margin</x:v>
      </x:c>
      <x:c r="B11" s="23" t="str">
        <x:v>FS-000009</x:v>
      </x:c>
      <x:c r="C11" s="24" t="str">
        <x:v>Bank statement transaction tagging</x:v>
      </x:c>
    </x:row>
    <x:row r="12">
      <x:c r="A12" s="22" t="str">
        <x:v>People</x:v>
      </x:c>
      <x:c r="B12" s="23" t="str">
        <x:v>FS-000010</x:v>
      </x:c>
      <x:c r="C12" s="24" t="str">
        <x:v>Bank statement transaction tagging</x:v>
      </x:c>
    </x:row>
    <x:row r="13">
      <x:c r="A13" s="22" t="str">
        <x:v>Travel &amp; Entertainment</x:v>
      </x:c>
      <x:c r="B13" s="23" t="str">
        <x:v>FS-000011</x:v>
      </x:c>
      <x:c r="C13" s="24" t="str">
        <x:v>Bank statement transaction tagging</x:v>
      </x:c>
    </x:row>
    <x:row r="14">
      <x:c r="A14" s="22" t="str">
        <x:v>Real Estate</x:v>
      </x:c>
      <x:c r="B14" s="23" t="str">
        <x:v>FS-000012</x:v>
      </x:c>
      <x:c r="C14" s="24" t="str">
        <x:v>Bank statement transaction tagging</x:v>
      </x:c>
    </x:row>
    <x:row r="15">
      <x:c r="A15" s="22" t="str">
        <x:v>Profit</x:v>
      </x:c>
      <x:c r="B15" s="23" t="str">
        <x:v>FS-000013</x:v>
      </x:c>
      <x:c r="C15" s="24" t="str">
        <x:v>Bank statement transaction tagging</x:v>
      </x:c>
    </x:row>
    <x:row r="16">
      <x:c r="A16" s="22" t="str">
        <x:v>WHT Profit</x:v>
      </x:c>
      <x:c r="B16" s="23" t="str">
        <x:v>FS-000014</x:v>
      </x:c>
      <x:c r="C16" s="24" t="str">
        <x:v>Bank statement transaction tagging</x:v>
      </x:c>
    </x:row>
    <x:row r="17">
      <x:c r="A17" s="22" t="str">
        <x:v>Professional Services</x:v>
      </x:c>
      <x:c r="B17" s="23" t="str">
        <x:v>FS-000015</x:v>
      </x:c>
      <x:c r="C17" s="24" t="str">
        <x:v>Bank statement transaction tagging</x:v>
      </x:c>
    </x:row>
    <x:row r="18">
      <x:c r="A18" s="22" t="str">
        <x:v>Offline Marketing &amp; Channels</x:v>
      </x:c>
      <x:c r="B18" s="23" t="str">
        <x:v>FS-000016</x:v>
      </x:c>
      <x:c r="C18" s="24" t="str">
        <x:v>Bank statement transaction tagging</x:v>
      </x:c>
    </x:row>
    <x:row r="19">
      <x:c r="A19" s="22" t="str">
        <x:v>Income Tax</x:v>
      </x:c>
      <x:c r="B19" s="23" t="str">
        <x:v>FS-000017</x:v>
      </x:c>
      <x:c r="C19" s="24" t="str">
        <x:v>Bank statement transaction tagging</x:v>
      </x:c>
    </x:row>
    <x:row r="20">
      <x:c r="A20" s="22" t="str">
        <x:v>Sales Tax</x:v>
      </x:c>
      <x:c r="B20" s="23" t="str">
        <x:v>FS-000018</x:v>
      </x:c>
      <x:c r="C20" s="24" t="str">
        <x:v>Bank statement transaction tagging</x:v>
      </x:c>
    </x:row>
    <x:row r="21">
      <x:c r="A21" s="22" t="str">
        <x:v>WHT Payroll</x:v>
      </x:c>
      <x:c r="B21" s="23" t="str">
        <x:v>FS-000019</x:v>
      </x:c>
      <x:c r="C21" s="24" t="str">
        <x:v>Bank statement transaction tagging</x:v>
      </x:c>
    </x:row>
    <x:row r="22">
      <x:c r="A22" s="22" t="str">
        <x:v>Contra</x:v>
      </x:c>
      <x:c r="B22" s="23" t="str">
        <x:v>FS-000020</x:v>
      </x:c>
      <x:c r="C22" s="24" t="str">
        <x:v>Inter-bank transfers</x:v>
      </x:c>
    </x:row>
    <x:row r="23">
      <x:c r="A23" s="22" t="str">
        <x:v>Tech</x:v>
      </x:c>
      <x:c r="B23" s="23" t="str">
        <x:v>FS-000021</x:v>
      </x:c>
      <x:c r="C23" s="24" t="str">
        <x:v>Bank statement transaction tagging</x:v>
      </x:c>
    </x:row>
    <x:row r="24">
      <x:c r="A24" s="22" t="str">
        <x:v>Customer Collections</x:v>
      </x:c>
      <x:c r="B24" s="23" t="str">
        <x:v>FS-000022</x:v>
      </x:c>
      <x:c r="C24" s="24" t="str">
        <x:v>Bank statement transaction tagging</x:v>
      </x:c>
    </x:row>
    <x:row r="25">
      <x:c r="A25" s="22" t="str">
        <x:v>WHT Vendor</x:v>
      </x:c>
      <x:c r="B25" s="23" t="str">
        <x:v>FS-000023</x:v>
      </x:c>
      <x:c r="C25" s="24" t="str">
        <x:v>Bank statement transaction tagging</x:v>
      </x:c>
    </x:row>
    <x:row r="26">
      <x:c r="A26" s="25" t="str">
        <x:v>Cash Withdrawal</x:v>
      </x:c>
      <x:c r="B26" s="26" t="str">
        <x:v>FS-000024</x:v>
      </x:c>
      <x:c r="C26" s="27" t="str">
        <x:v>Bank statement transaction tagging</x:v>
      </x:c>
    </x:row>
  </x:sheetData>
  <x:mergeCells>
    <x:mergeCell ref="A1:C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5" hidden="0" customWidth="1"/>
  </x:cols>
  <x:sheetData>
    <x:row r="1" ht="26" customHeight="1">
      <x:c r="A1" s="3" t="str">
        <x:v>Truck It In — Monthly P&amp;L Summary</x:v>
      </x:c>
    </x:row>
    <x:row r="2">
      <x:c r="A2" s="19" t="str">
        <x:v>Truck It In</x:v>
      </x:c>
      <x:c r="B2" s="20" t="str">
        <x:v>Jan</x:v>
      </x:c>
      <x:c r="C2" s="20" t="str">
        <x:v>Feb</x:v>
      </x:c>
      <x:c r="D2" s="20" t="str">
        <x:v>Mar</x:v>
      </x:c>
      <x:c r="E2" s="20" t="str">
        <x:v>Apr</x:v>
      </x:c>
      <x:c r="F2" s="20" t="str">
        <x:v>May</x:v>
      </x:c>
      <x:c r="G2" s="20" t="str">
        <x:v>Jun</x:v>
      </x:c>
      <x:c r="H2" s="20" t="str">
        <x:v>Jul</x:v>
      </x:c>
      <x:c r="I2" s="20" t="str">
        <x:v>Aug</x:v>
      </x:c>
      <x:c r="J2" s="20" t="str">
        <x:v>Sep</x:v>
      </x:c>
      <x:c r="K2" s="20" t="str">
        <x:v>Oct</x:v>
      </x:c>
      <x:c r="L2" s="20" t="str">
        <x:v>Nov</x:v>
      </x:c>
      <x:c r="M2" s="20" t="str">
        <x:v>Dec</x:v>
      </x:c>
      <x:c r="N2" s="21" t="str">
        <x:v>Total</x:v>
      </x:c>
    </x:row>
    <x:row r="3">
      <x:c r="A3" s="22" t="str">
        <x:v>No. of Parcels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51" t="n">
        <x:f>SUM(B3:M3)</x:f>
        <x:v>0</x:v>
      </x:c>
    </x:row>
    <x:row r="4">
      <x:c r="A4" s="22" t="str">
        <x:v>RPS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51" t="n">
        <x:f>SUM(B4:M4)</x:f>
        <x:v>0</x:v>
      </x:c>
    </x:row>
    <x:row r="5">
      <x:c r="A5" s="22" t="str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51" t="n">
        <x:f>SUM(B5:M5)</x:f>
        <x:v>0</x:v>
      </x:c>
    </x:row>
    <x:row r="6">
      <x:c r="A6" s="54" t="str">
        <x:v>Revenue</x:v>
      </x:c>
      <x:c r="B6" s="58"/>
      <x:c r="C6" s="58"/>
      <x:c r="D6" s="58"/>
      <x:c r="E6" s="58"/>
      <x:c r="F6" s="58"/>
      <x:c r="G6" s="58"/>
      <x:c r="H6" s="58" t="n">
        <x:f>'Profit and Loss'!D29</x:f>
        <x:v>2224000</x:v>
      </x:c>
      <x:c r="I6" s="58"/>
      <x:c r="J6" s="58"/>
      <x:c r="K6" s="58"/>
      <x:c r="L6" s="58"/>
      <x:c r="M6" s="58"/>
      <x:c r="N6" s="71" t="n">
        <x:f>SUM(B6:M6)</x:f>
        <x:v>2224000</x:v>
      </x:c>
    </x:row>
    <x:row r="7">
      <x:c r="A7" s="22" t="str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51" t="n">
        <x:f>SUM(B7:M7)</x:f>
        <x:v>0</x:v>
      </x:c>
    </x:row>
    <x:row r="8">
      <x:c r="A8" s="22" t="str">
        <x:v>Delivery Cost</x:v>
      </x:c>
      <x:c r="B8" s="30"/>
      <x:c r="C8" s="30"/>
      <x:c r="D8" s="30"/>
      <x:c r="E8" s="30"/>
      <x:c r="F8" s="30"/>
      <x:c r="G8" s="30"/>
      <x:c r="H8" s="30" t="n">
        <x:f>0</x:f>
        <x:v>0</x:v>
      </x:c>
      <x:c r="I8" s="30"/>
      <x:c r="J8" s="30"/>
      <x:c r="K8" s="30"/>
      <x:c r="L8" s="30"/>
      <x:c r="M8" s="30"/>
      <x:c r="N8" s="51" t="n">
        <x:f>SUM(B8:M8)</x:f>
        <x:v>0</x:v>
      </x:c>
    </x:row>
    <x:row r="9">
      <x:c r="A9" s="22" t="str">
        <x:v>Pickup Cost</x:v>
      </x:c>
      <x:c r="B9" s="30"/>
      <x:c r="C9" s="30"/>
      <x:c r="D9" s="30"/>
      <x:c r="E9" s="30"/>
      <x:c r="F9" s="30"/>
      <x:c r="G9" s="30"/>
      <x:c r="H9" s="30" t="n">
        <x:f>0</x:f>
        <x:v>0</x:v>
      </x:c>
      <x:c r="I9" s="30"/>
      <x:c r="J9" s="30"/>
      <x:c r="K9" s="30"/>
      <x:c r="L9" s="30"/>
      <x:c r="M9" s="30"/>
      <x:c r="N9" s="51" t="n">
        <x:f>SUM(B9:M9)</x:f>
        <x:v>0</x:v>
      </x:c>
    </x:row>
    <x:row r="10">
      <x:c r="A10" s="22" t="str">
        <x:v>Transportation</x:v>
      </x:c>
      <x:c r="B10" s="30"/>
      <x:c r="C10" s="30"/>
      <x:c r="D10" s="30"/>
      <x:c r="E10" s="30"/>
      <x:c r="F10" s="30"/>
      <x:c r="G10" s="30"/>
      <x:c r="H10" s="30" t="n">
        <x:f>SUMIF('Profit and Loss'!$A$3:$A$27,1054,'Profit and Loss'!$D$3:$D$27)</x:f>
        <x:v>-640000</x:v>
      </x:c>
      <x:c r="I10" s="30"/>
      <x:c r="J10" s="30"/>
      <x:c r="K10" s="30"/>
      <x:c r="L10" s="30"/>
      <x:c r="M10" s="30"/>
      <x:c r="N10" s="51" t="n">
        <x:f>SUM(B10:M10)</x:f>
        <x:v>-640000</x:v>
      </x:c>
    </x:row>
    <x:row r="11">
      <x:c r="A11" s="54" t="str">
        <x:v>Total Direct Cost</x:v>
      </x:c>
      <x:c r="B11" s="58"/>
      <x:c r="C11" s="58"/>
      <x:c r="D11" s="58"/>
      <x:c r="E11" s="58"/>
      <x:c r="F11" s="58"/>
      <x:c r="G11" s="58"/>
      <x:c r="H11" s="58" t="n">
        <x:f>SUM(H8:H10)</x:f>
        <x:v>-640000</x:v>
      </x:c>
      <x:c r="I11" s="58"/>
      <x:c r="J11" s="58"/>
      <x:c r="K11" s="58"/>
      <x:c r="L11" s="58"/>
      <x:c r="M11" s="58"/>
      <x:c r="N11" s="71" t="n">
        <x:f>SUM(B11:M11)</x:f>
        <x:v>-640000</x:v>
      </x:c>
    </x:row>
    <x:row r="12">
      <x:c r="A12" s="22" t="str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51" t="n">
        <x:f>SUM(B12:M12)</x:f>
        <x:v>0</x:v>
      </x:c>
    </x:row>
    <x:row r="13">
      <x:c r="A13" s="22" t="str">
        <x:v>GP</x:v>
      </x:c>
      <x:c r="B13" s="30"/>
      <x:c r="C13" s="30"/>
      <x:c r="D13" s="30"/>
      <x:c r="E13" s="30"/>
      <x:c r="F13" s="30"/>
      <x:c r="G13" s="30"/>
      <x:c r="H13" s="30" t="n">
        <x:f>H6-H11</x:f>
        <x:v>2864000</x:v>
      </x:c>
      <x:c r="I13" s="30"/>
      <x:c r="J13" s="30"/>
      <x:c r="K13" s="30"/>
      <x:c r="L13" s="30"/>
      <x:c r="M13" s="30"/>
      <x:c r="N13" s="51" t="n">
        <x:f>SUM(B13:M13)</x:f>
        <x:v>2864000</x:v>
      </x:c>
    </x:row>
    <x:row r="14">
      <x:c r="A14" s="22" t="str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51" t="n">
        <x:f>SUM(B14:M14)</x:f>
        <x:v>0</x:v>
      </x:c>
    </x:row>
    <x:row r="15">
      <x:c r="A15" s="22" t="str">
        <x:v>Salaries &amp; Benefits</x:v>
      </x:c>
      <x:c r="B15" s="30"/>
      <x:c r="C15" s="30"/>
      <x:c r="D15" s="30"/>
      <x:c r="E15" s="30"/>
      <x:c r="F15" s="30"/>
      <x:c r="G15" s="30"/>
      <x:c r="H15" s="30" t="n">
        <x:f>SUMIF('Profit and Loss'!$A$3:$A$27,1056,'Profit and Loss'!$D$3:$D$27)</x:f>
        <x:v>340000</x:v>
      </x:c>
      <x:c r="I15" s="30"/>
      <x:c r="J15" s="30"/>
      <x:c r="K15" s="30"/>
      <x:c r="L15" s="30"/>
      <x:c r="M15" s="30"/>
      <x:c r="N15" s="51" t="n">
        <x:f>SUM(B15:M15)</x:f>
        <x:v>340000</x:v>
      </x:c>
    </x:row>
    <x:row r="16">
      <x:c r="A16" s="22" t="str">
        <x:v>Utilities</x:v>
      </x:c>
      <x:c r="B16" s="30"/>
      <x:c r="C16" s="30"/>
      <x:c r="D16" s="30"/>
      <x:c r="E16" s="30"/>
      <x:c r="F16" s="30"/>
      <x:c r="G16" s="30"/>
      <x:c r="H16" s="30" t="n">
        <x:f>SUMIF('Profit and Loss'!$A$3:$A$27,1058,'Profit and Loss'!$D$3:$D$27)</x:f>
        <x:v>90000</x:v>
      </x:c>
      <x:c r="I16" s="30"/>
      <x:c r="J16" s="30"/>
      <x:c r="K16" s="30"/>
      <x:c r="L16" s="30"/>
      <x:c r="M16" s="30"/>
      <x:c r="N16" s="51" t="n">
        <x:f>SUM(B16:M16)</x:f>
        <x:v>90000</x:v>
      </x:c>
    </x:row>
    <x:row r="17">
      <x:c r="A17" s="22" t="str">
        <x:v>Other Cost</x:v>
      </x:c>
      <x:c r="B17" s="30"/>
      <x:c r="C17" s="30"/>
      <x:c r="D17" s="30"/>
      <x:c r="E17" s="30"/>
      <x:c r="F17" s="30"/>
      <x:c r="G17" s="30"/>
      <x:c r="H17" s="30" t="n">
        <x:f>'Profit and Loss'!D30-H11-H15-H16</x:f>
        <x:v>1156000</x:v>
      </x:c>
      <x:c r="I17" s="30"/>
      <x:c r="J17" s="30"/>
      <x:c r="K17" s="30"/>
      <x:c r="L17" s="30"/>
      <x:c r="M17" s="30"/>
      <x:c r="N17" s="51" t="n">
        <x:f>SUM(B17:M17)</x:f>
        <x:v>1156000</x:v>
      </x:c>
    </x:row>
    <x:row r="18">
      <x:c r="A18" s="22" t="str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51" t="n">
        <x:f>SUM(B18:M18)</x:f>
        <x:v>0</x:v>
      </x:c>
    </x:row>
    <x:row r="19">
      <x:c r="A19" s="54" t="str">
        <x:v>Ebitda</x:v>
      </x:c>
      <x:c r="B19" s="58"/>
      <x:c r="C19" s="58"/>
      <x:c r="D19" s="58"/>
      <x:c r="E19" s="58"/>
      <x:c r="F19" s="58"/>
      <x:c r="G19" s="58"/>
      <x:c r="H19" s="58" t="n">
        <x:f>H13-H15-H16-H17</x:f>
        <x:v>1278000</x:v>
      </x:c>
      <x:c r="I19" s="58"/>
      <x:c r="J19" s="58"/>
      <x:c r="K19" s="58"/>
      <x:c r="L19" s="58"/>
      <x:c r="M19" s="58"/>
      <x:c r="N19" s="71" t="n">
        <x:f>SUM(B19:M19)</x:f>
        <x:v>1278000</x:v>
      </x:c>
    </x:row>
    <x:row r="20">
      <x:c r="A20" s="22" t="str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51" t="n">
        <x:f>SUM(B20:M20)</x:f>
        <x:v>0</x:v>
      </x:c>
    </x:row>
    <x:row r="21">
      <x:c r="A21" s="22" t="str">
        <x:v>Depreciation</x:v>
      </x:c>
      <x:c r="B21" s="30"/>
      <x:c r="C21" s="30"/>
      <x:c r="D21" s="30"/>
      <x:c r="E21" s="30"/>
      <x:c r="F21" s="30"/>
      <x:c r="G21" s="30"/>
      <x:c r="H21" s="30" t="n">
        <x:f>SUMIF('Profit and Loss'!$A$3:$A$27,1064,'Profit and Loss'!$D$3:$D$27)</x:f>
        <x:v>50000</x:v>
      </x:c>
      <x:c r="I21" s="30"/>
      <x:c r="J21" s="30"/>
      <x:c r="K21" s="30"/>
      <x:c r="L21" s="30"/>
      <x:c r="M21" s="30"/>
      <x:c r="N21" s="51" t="n">
        <x:f>SUM(B21:M21)</x:f>
        <x:v>50000</x:v>
      </x:c>
    </x:row>
    <x:row r="22">
      <x:c r="A22" s="22" t="str">
        <x:v>Ammortization</x:v>
      </x:c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51" t="n">
        <x:f>SUM(B22:M22)</x:f>
        <x:v>0</x:v>
      </x:c>
    </x:row>
    <x:row r="23">
      <x:c r="A23" s="22" t="str">
        <x:v>Interest Expense</x:v>
      </x:c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51" t="n">
        <x:f>SUM(B23:M23)</x:f>
        <x:v>0</x:v>
      </x:c>
    </x:row>
    <x:row r="24">
      <x:c r="A24" s="22" t="str">
        <x:v>Income Tax</x:v>
      </x:c>
      <x:c r="B24" s="30"/>
      <x:c r="C24" s="30"/>
      <x:c r="D24" s="30"/>
      <x:c r="E24" s="30"/>
      <x:c r="F24" s="30"/>
      <x:c r="G24" s="30"/>
      <x:c r="H24" s="30" t="n">
        <x:f>SUMIF('Profit and Loss'!$A$3:$A$27,1048,'Profit and Loss'!$D$3:$D$27)</x:f>
        <x:v>0</x:v>
      </x:c>
      <x:c r="I24" s="30"/>
      <x:c r="J24" s="30"/>
      <x:c r="K24" s="30"/>
      <x:c r="L24" s="30"/>
      <x:c r="M24" s="30"/>
      <x:c r="N24" s="51" t="n">
        <x:f>SUM(B24:M24)</x:f>
        <x:v>0</x:v>
      </x:c>
    </x:row>
    <x:row r="25">
      <x:c r="A25" s="22" t="str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51" t="n">
        <x:f>SUM(B25:M25)</x:f>
        <x:v>0</x:v>
      </x:c>
    </x:row>
    <x:row r="26">
      <x:c r="A26" s="61" t="str">
        <x:v>NI</x:v>
      </x:c>
      <x:c r="B26" s="79"/>
      <x:c r="C26" s="79"/>
      <x:c r="D26" s="79"/>
      <x:c r="E26" s="79"/>
      <x:c r="F26" s="79"/>
      <x:c r="G26" s="79"/>
      <x:c r="H26" s="79" t="n">
        <x:f>'Profit and Loss'!D31</x:f>
        <x:v>1278000</x:v>
      </x:c>
      <x:c r="I26" s="79"/>
      <x:c r="J26" s="79"/>
      <x:c r="K26" s="79"/>
      <x:c r="L26" s="79"/>
      <x:c r="M26" s="79"/>
      <x:c r="N26" s="67" t="n">
        <x:f>SUM(B26:M26)</x:f>
        <x:v>1278000</x:v>
      </x:c>
    </x:row>
    <x:row r="27">
      <x:c r="A27" s="22" t="str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51" t="n">
        <x:f>SUM(B27:M27)</x:f>
        <x:v>0</x:v>
      </x:c>
    </x:row>
    <x:row r="28">
      <x:c r="A28" s="25" t="str">
        <x:v>USD Rate</x:v>
      </x:c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52" t="n">
        <x:f>SUM(B28:M28)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26" customHeight="1">
      <x:c r="A1" s="3" t="str">
        <x:v>TRUCK IT IN — Balance Sheet Group</x:v>
      </x:c>
    </x:row>
    <x:row r="2">
      <x:c r="A2" s="19" t="str"/>
      <x:c r="B2" s="20" t="str">
        <x:v>TIN - Final</x:v>
      </x:c>
      <x:c r="C2" s="20" t="str">
        <x:v>Rider</x:v>
      </x:c>
      <x:c r="D2" s="20" t="str">
        <x:v>OP</x:v>
      </x:c>
      <x:c r="E2" s="20" t="str">
        <x:v>Consolidated</x:v>
      </x:c>
      <x:c r="F2" s="20" t="str"/>
      <x:c r="G2" s="20" t="str">
        <x:v>TIN - Final</x:v>
      </x:c>
      <x:c r="H2" s="20" t="str">
        <x:v>Rider</x:v>
      </x:c>
      <x:c r="I2" s="20" t="str">
        <x:v>OP</x:v>
      </x:c>
      <x:c r="J2" s="21" t="str">
        <x:v>Consolidated</x:v>
      </x:c>
    </x:row>
    <x:row r="3">
      <x:c r="A3" s="80" t="str"/>
      <x:c r="B3" s="81" t="str">
        <x:v>Jul'25</x:v>
      </x:c>
      <x:c r="C3" s="81" t="str">
        <x:v>Jul'25</x:v>
      </x:c>
      <x:c r="D3" s="81" t="str">
        <x:v>Jul'25</x:v>
      </x:c>
      <x:c r="E3" s="81" t="str">
        <x:v>Jul'25</x:v>
      </x:c>
      <x:c r="F3" s="81" t="str"/>
      <x:c r="G3" s="81" t="str">
        <x:v>Dec'25</x:v>
      </x:c>
      <x:c r="H3" s="81" t="str">
        <x:v>Dec'25</x:v>
      </x:c>
      <x:c r="I3" s="81" t="str">
        <x:v>Dec'25</x:v>
      </x:c>
      <x:c r="J3" s="82" t="str">
        <x:v>Dec'25</x:v>
      </x:c>
    </x:row>
    <x:row r="4">
      <x:c r="A4" s="54" t="str">
        <x:v>ASSETS</x:v>
      </x:c>
      <x:c r="B4" s="58"/>
      <x:c r="C4" s="58"/>
      <x:c r="D4" s="58"/>
      <x:c r="E4" s="58" t="n">
        <x:f>SUM(B4:D4)</x:f>
        <x:v>0</x:v>
      </x:c>
      <x:c r="F4" s="58"/>
      <x:c r="G4" s="58"/>
      <x:c r="H4" s="58"/>
      <x:c r="I4" s="58"/>
      <x:c r="J4" s="71" t="n">
        <x:f>SUM(G4:I4)</x:f>
        <x:v>0</x:v>
      </x:c>
    </x:row>
    <x:row r="5">
      <x:c r="A5" s="54" t="str">
        <x:v>NON-CURRENT ASSETS</x:v>
      </x:c>
      <x:c r="B5" s="58"/>
      <x:c r="C5" s="58"/>
      <x:c r="D5" s="58"/>
      <x:c r="E5" s="58" t="n">
        <x:f>SUM(B5:D5)</x:f>
        <x:v>0</x:v>
      </x:c>
      <x:c r="F5" s="58"/>
      <x:c r="G5" s="58"/>
      <x:c r="H5" s="58"/>
      <x:c r="I5" s="58"/>
      <x:c r="J5" s="71" t="n">
        <x:f>SUM(G5:I5)</x:f>
        <x:v>0</x:v>
      </x:c>
    </x:row>
    <x:row r="6">
      <x:c r="A6" s="22" t="str">
        <x:v>Property &amp; Equipment</x:v>
      </x:c>
      <x:c r="B6" s="30" t="n">
        <x:f>SUMIF('Balance Sheet'!$B$3:$B$39,"Furniture and fixture",'Balance Sheet'!$D$3:$D$39)+SUMIF('Balance Sheet'!$B$3:$B$39,"Computers",'Balance Sheet'!$D$3:$D$39)+SUMIF('Balance Sheet'!$B$3:$B$39,"Office Equipments",'Balance Sheet'!$D$3:$D$39)+SUMIF('Balance Sheet'!$B$3:$B$39,"Vehicles",'Balance Sheet'!$D$3:$D$39)+SUMIF('Balance Sheet'!$B$3:$B$39,"Intangible Assets",'Balance Sheet'!$D$3:$D$39)+SUMIF('Balance Sheet'!$B$3:$B$39,"Accumulated depreciation",'Balance Sheet'!$D$3:$D$39)</x:f>
        <x:v>800000</x:v>
      </x:c>
      <x:c r="C6" s="30"/>
      <x:c r="D6" s="30"/>
      <x:c r="E6" s="30" t="n">
        <x:f>SUM(B6:D6)</x:f>
        <x:v>800000</x:v>
      </x:c>
      <x:c r="F6" s="30"/>
      <x:c r="G6" s="30"/>
      <x:c r="H6" s="30"/>
      <x:c r="I6" s="30"/>
      <x:c r="J6" s="51" t="n">
        <x:f>SUM(G6:I6)</x:f>
        <x:v>0</x:v>
      </x:c>
    </x:row>
    <x:row r="7">
      <x:c r="A7" s="22" t="str">
        <x:v>Long term advances and deposits</x:v>
      </x:c>
      <x:c r="B7" s="30" t="n">
        <x:f>SUMIF('Balance Sheet'!$B$3:$B$39,"Security deposit-Office",'Balance Sheet'!$D$3:$D$39)</x:f>
        <x:v>420000</x:v>
      </x:c>
      <x:c r="C7" s="30"/>
      <x:c r="D7" s="30"/>
      <x:c r="E7" s="30" t="n">
        <x:f>SUM(B7:D7)</x:f>
        <x:v>420000</x:v>
      </x:c>
      <x:c r="F7" s="30"/>
      <x:c r="G7" s="30"/>
      <x:c r="H7" s="30"/>
      <x:c r="I7" s="30"/>
      <x:c r="J7" s="51" t="n">
        <x:f>SUM(G7:I7)</x:f>
        <x:v>0</x:v>
      </x:c>
    </x:row>
    <x:row r="8">
      <x:c r="A8" s="22" t="str">
        <x:v>Investment - Openport / SPA Pay</x:v>
      </x:c>
      <x:c r="B8" s="30"/>
      <x:c r="C8" s="30"/>
      <x:c r="D8" s="30"/>
      <x:c r="E8" s="30" t="n">
        <x:f>SUM(B8:D8)</x:f>
        <x:v>0</x:v>
      </x:c>
      <x:c r="F8" s="30"/>
      <x:c r="G8" s="30"/>
      <x:c r="H8" s="30"/>
      <x:c r="I8" s="30"/>
      <x:c r="J8" s="51" t="n">
        <x:f>SUM(G8:I8)</x:f>
        <x:v>0</x:v>
      </x:c>
    </x:row>
    <x:row r="9">
      <x:c r="A9" s="22" t="str"/>
      <x:c r="B9" s="30"/>
      <x:c r="C9" s="30"/>
      <x:c r="D9" s="30"/>
      <x:c r="E9" s="30" t="n">
        <x:f>SUM(B9:D9)</x:f>
        <x:v>0</x:v>
      </x:c>
      <x:c r="F9" s="30"/>
      <x:c r="G9" s="30"/>
      <x:c r="H9" s="30"/>
      <x:c r="I9" s="30"/>
      <x:c r="J9" s="51" t="n">
        <x:f>SUM(G9:I9)</x:f>
        <x:v>0</x:v>
      </x:c>
    </x:row>
    <x:row r="10">
      <x:c r="A10" s="54" t="str">
        <x:v>CURRENT ASSETS</x:v>
      </x:c>
      <x:c r="B10" s="58"/>
      <x:c r="C10" s="58"/>
      <x:c r="D10" s="58"/>
      <x:c r="E10" s="58" t="n">
        <x:f>SUM(B10:D10)</x:f>
        <x:v>0</x:v>
      </x:c>
      <x:c r="F10" s="58"/>
      <x:c r="G10" s="58"/>
      <x:c r="H10" s="58"/>
      <x:c r="I10" s="58"/>
      <x:c r="J10" s="71" t="n">
        <x:f>SUM(G10:I10)</x:f>
        <x:v>0</x:v>
      </x:c>
    </x:row>
    <x:row r="11">
      <x:c r="A11" s="22" t="str">
        <x:v>Trade Debts</x:v>
      </x:c>
      <x:c r="B11" s="30" t="n">
        <x:f>SUMIF('Balance Sheet'!$B$3:$B$39,"Trade Debtors",'Balance Sheet'!$D$3:$D$39)</x:f>
        <x:v>1920000</x:v>
      </x:c>
      <x:c r="C11" s="30"/>
      <x:c r="D11" s="30"/>
      <x:c r="E11" s="30" t="n">
        <x:f>SUM(B11:D11)</x:f>
        <x:v>1920000</x:v>
      </x:c>
      <x:c r="F11" s="30"/>
      <x:c r="G11" s="30"/>
      <x:c r="H11" s="30"/>
      <x:c r="I11" s="30"/>
      <x:c r="J11" s="51" t="n">
        <x:f>SUM(G11:I11)</x:f>
        <x:v>0</x:v>
      </x:c>
    </x:row>
    <x:row r="12">
      <x:c r="A12" s="22" t="str">
        <x:v>Advances &amp; Deposits</x:v>
      </x:c>
      <x:c r="B12" s="30" t="n">
        <x:f>SUM('Balance Sheet'!$D$3:$D$39)-B6-B7-B11-B13</x:f>
        <x:v>12954000</x:v>
      </x:c>
      <x:c r="C12" s="30"/>
      <x:c r="D12" s="30"/>
      <x:c r="E12" s="30" t="n">
        <x:f>SUM(B12:D12)</x:f>
        <x:v>12954000</x:v>
      </x:c>
      <x:c r="F12" s="30"/>
      <x:c r="G12" s="30"/>
      <x:c r="H12" s="30"/>
      <x:c r="I12" s="30"/>
      <x:c r="J12" s="51" t="n">
        <x:f>SUM(G12:I12)</x:f>
        <x:v>0</x:v>
      </x:c>
    </x:row>
    <x:row r="13">
      <x:c r="A13" s="22" t="str">
        <x:v>Cash &amp; Bank</x:v>
      </x:c>
      <x:c r="B13" s="30" t="n">
        <x:f>SUM(SUMIF('Trial Balance'!$A$3:$A$64,{1028,1029,1030,1031},'Trial Balance'!$I$3:$I$64))</x:f>
        <x:v>200000</x:v>
      </x:c>
      <x:c r="C13" s="30"/>
      <x:c r="D13" s="30"/>
      <x:c r="E13" s="30" t="n">
        <x:f>SUM(B13:D13)</x:f>
        <x:v>200000</x:v>
      </x:c>
      <x:c r="F13" s="30"/>
      <x:c r="G13" s="30"/>
      <x:c r="H13" s="30"/>
      <x:c r="I13" s="30"/>
      <x:c r="J13" s="51" t="n">
        <x:f>SUM(G13:I13)</x:f>
        <x:v>0</x:v>
      </x:c>
    </x:row>
    <x:row r="14">
      <x:c r="A14" s="22" t="str"/>
      <x:c r="B14" s="30"/>
      <x:c r="C14" s="30"/>
      <x:c r="D14" s="30"/>
      <x:c r="E14" s="30" t="n">
        <x:f>SUM(B14:D14)</x:f>
        <x:v>0</x:v>
      </x:c>
      <x:c r="F14" s="30"/>
      <x:c r="G14" s="30"/>
      <x:c r="H14" s="30"/>
      <x:c r="I14" s="30"/>
      <x:c r="J14" s="51" t="n">
        <x:f>SUM(G14:I14)</x:f>
        <x:v>0</x:v>
      </x:c>
    </x:row>
    <x:row r="15">
      <x:c r="A15" s="54" t="str">
        <x:v>Total Assets</x:v>
      </x:c>
      <x:c r="B15" s="58" t="n">
        <x:f>'Balance Sheet'!D41</x:f>
        <x:v>8786000</x:v>
      </x:c>
      <x:c r="C15" s="58"/>
      <x:c r="D15" s="58"/>
      <x:c r="E15" s="58" t="n">
        <x:f>SUM(B15:D15)</x:f>
        <x:v>8786000</x:v>
      </x:c>
      <x:c r="F15" s="58"/>
      <x:c r="G15" s="58"/>
      <x:c r="H15" s="58"/>
      <x:c r="I15" s="58"/>
      <x:c r="J15" s="71" t="n">
        <x:f>SUM(G15:I15)</x:f>
        <x:v>0</x:v>
      </x:c>
    </x:row>
    <x:row r="16">
      <x:c r="A16" s="54" t="str"/>
      <x:c r="B16" s="58"/>
      <x:c r="C16" s="58"/>
      <x:c r="D16" s="58"/>
      <x:c r="E16" s="58" t="n">
        <x:f>SUM(B16:D16)</x:f>
        <x:v>0</x:v>
      </x:c>
      <x:c r="F16" s="58"/>
      <x:c r="G16" s="58"/>
      <x:c r="H16" s="58"/>
      <x:c r="I16" s="58"/>
      <x:c r="J16" s="71" t="n">
        <x:f>SUM(G16:I16)</x:f>
        <x:v>0</x:v>
      </x:c>
    </x:row>
    <x:row r="17">
      <x:c r="A17" s="22" t="str">
        <x:v>EQUITY AND LIABILITIES</x:v>
      </x:c>
      <x:c r="B17" s="30"/>
      <x:c r="C17" s="30"/>
      <x:c r="D17" s="30"/>
      <x:c r="E17" s="30" t="n">
        <x:f>SUM(B17:D17)</x:f>
        <x:v>0</x:v>
      </x:c>
      <x:c r="F17" s="30"/>
      <x:c r="G17" s="30"/>
      <x:c r="H17" s="30"/>
      <x:c r="I17" s="30"/>
      <x:c r="J17" s="51" t="n">
        <x:f>SUM(G17:I17)</x:f>
        <x:v>0</x:v>
      </x:c>
    </x:row>
    <x:row r="18">
      <x:c r="A18" s="22" t="str">
        <x:v>EQUITY</x:v>
      </x:c>
      <x:c r="B18" s="30"/>
      <x:c r="C18" s="30"/>
      <x:c r="D18" s="30"/>
      <x:c r="E18" s="30" t="n">
        <x:f>SUM(B18:D18)</x:f>
        <x:v>0</x:v>
      </x:c>
      <x:c r="F18" s="30"/>
      <x:c r="G18" s="30"/>
      <x:c r="H18" s="30"/>
      <x:c r="I18" s="30"/>
      <x:c r="J18" s="51" t="n">
        <x:f>SUM(G18:I18)</x:f>
        <x:v>0</x:v>
      </x:c>
    </x:row>
    <x:row r="19">
      <x:c r="A19" s="22" t="str">
        <x:v>Un-appropriated (Loss)</x:v>
      </x:c>
      <x:c r="B19" s="30" t="n">
        <x:f>'Balance Sheet'!D43+'Balance Sheet'!D44</x:f>
        <x:v>6253000</x:v>
      </x:c>
      <x:c r="C19" s="30"/>
      <x:c r="D19" s="30"/>
      <x:c r="E19" s="30" t="n">
        <x:f>SUM(B19:D19)</x:f>
        <x:v>6253000</x:v>
      </x:c>
      <x:c r="F19" s="30"/>
      <x:c r="G19" s="30"/>
      <x:c r="H19" s="30"/>
      <x:c r="I19" s="30"/>
      <x:c r="J19" s="51" t="n">
        <x:f>SUM(G19:I19)</x:f>
        <x:v>0</x:v>
      </x:c>
    </x:row>
    <x:row r="20">
      <x:c r="A20" s="22" t="str">
        <x:v>Issued, subscribed and paid-up capital</x:v>
      </x:c>
      <x:c r="B20" s="30" t="n">
        <x:f>0</x:f>
        <x:v>0</x:v>
      </x:c>
      <x:c r="C20" s="30"/>
      <x:c r="D20" s="30"/>
      <x:c r="E20" s="30" t="n">
        <x:f>SUM(B20:D20)</x:f>
        <x:v>0</x:v>
      </x:c>
      <x:c r="F20" s="30"/>
      <x:c r="G20" s="30"/>
      <x:c r="H20" s="30"/>
      <x:c r="I20" s="30"/>
      <x:c r="J20" s="51" t="n">
        <x:f>SUM(G20:I20)</x:f>
        <x:v>0</x:v>
      </x:c>
    </x:row>
    <x:row r="21">
      <x:c r="A21" s="22" t="str">
        <x:v>Share premium</x:v>
      </x:c>
      <x:c r="B21" s="30" t="n">
        <x:f>0</x:f>
        <x:v>0</x:v>
      </x:c>
      <x:c r="C21" s="30"/>
      <x:c r="D21" s="30"/>
      <x:c r="E21" s="30" t="n">
        <x:f>SUM(B21:D21)</x:f>
        <x:v>0</x:v>
      </x:c>
      <x:c r="F21" s="30"/>
      <x:c r="G21" s="30"/>
      <x:c r="H21" s="30"/>
      <x:c r="I21" s="30"/>
      <x:c r="J21" s="51" t="n">
        <x:f>SUM(G21:I21)</x:f>
        <x:v>0</x:v>
      </x:c>
    </x:row>
    <x:row r="22">
      <x:c r="A22" s="22" t="str">
        <x:v>Share Deposit Money</x:v>
      </x:c>
      <x:c r="B22" s="30" t="n">
        <x:f>SUMIF('Balance Sheet'!$A$3:$A$39,1037,'Balance Sheet'!$D$3:$D$39)</x:f>
        <x:v>200000</x:v>
      </x:c>
      <x:c r="C22" s="30"/>
      <x:c r="D22" s="30"/>
      <x:c r="E22" s="30" t="n">
        <x:f>SUM(B22:D22)</x:f>
        <x:v>200000</x:v>
      </x:c>
      <x:c r="F22" s="30"/>
      <x:c r="G22" s="30"/>
      <x:c r="H22" s="30"/>
      <x:c r="I22" s="30"/>
      <x:c r="J22" s="51" t="n">
        <x:f>SUM(G22:I22)</x:f>
        <x:v>0</x:v>
      </x:c>
    </x:row>
    <x:row r="23">
      <x:c r="A23" s="54" t="str">
        <x:v>FX Gain / Loss</x:v>
      </x:c>
      <x:c r="B23" s="58" t="n">
        <x:f>0</x:f>
        <x:v>0</x:v>
      </x:c>
      <x:c r="C23" s="58"/>
      <x:c r="D23" s="58"/>
      <x:c r="E23" s="58" t="n">
        <x:f>SUM(B23:D23)</x:f>
        <x:v>0</x:v>
      </x:c>
      <x:c r="F23" s="58"/>
      <x:c r="G23" s="58"/>
      <x:c r="H23" s="58"/>
      <x:c r="I23" s="58"/>
      <x:c r="J23" s="71" t="n">
        <x:f>SUM(G23:I23)</x:f>
        <x:v>0</x:v>
      </x:c>
    </x:row>
    <x:row r="24">
      <x:c r="A24" s="22" t="str"/>
      <x:c r="B24" s="30"/>
      <x:c r="C24" s="30"/>
      <x:c r="D24" s="30"/>
      <x:c r="E24" s="30" t="n">
        <x:f>SUM(B24:D24)</x:f>
        <x:v>0</x:v>
      </x:c>
      <x:c r="F24" s="30"/>
      <x:c r="G24" s="30"/>
      <x:c r="H24" s="30"/>
      <x:c r="I24" s="30"/>
      <x:c r="J24" s="51" t="n">
        <x:f>SUM(G24:I24)</x:f>
        <x:v>0</x:v>
      </x:c>
    </x:row>
    <x:row r="25">
      <x:c r="A25" s="22" t="str">
        <x:v>CURRENT LIABILITIES</x:v>
      </x:c>
      <x:c r="B25" s="30"/>
      <x:c r="C25" s="30"/>
      <x:c r="D25" s="30"/>
      <x:c r="E25" s="30" t="n">
        <x:f>SUM(B25:D25)</x:f>
        <x:v>0</x:v>
      </x:c>
      <x:c r="F25" s="30"/>
      <x:c r="G25" s="30"/>
      <x:c r="H25" s="30"/>
      <x:c r="I25" s="30"/>
      <x:c r="J25" s="51" t="n">
        <x:f>SUM(G25:I25)</x:f>
        <x:v>0</x:v>
      </x:c>
    </x:row>
    <x:row r="26">
      <x:c r="A26" s="22" t="str">
        <x:v>Creditors, Accrued &amp; Other Liabilities</x:v>
      </x:c>
      <x:c r="B26" s="30" t="n">
        <x:f>'Balance Sheet'!D42</x:f>
        <x:v>2533000</x:v>
      </x:c>
      <x:c r="C26" s="30"/>
      <x:c r="D26" s="30"/>
      <x:c r="E26" s="30" t="n">
        <x:f>SUM(B26:D26)</x:f>
        <x:v>2533000</x:v>
      </x:c>
      <x:c r="F26" s="30"/>
      <x:c r="G26" s="30"/>
      <x:c r="H26" s="30"/>
      <x:c r="I26" s="30"/>
      <x:c r="J26" s="51" t="n">
        <x:f>SUM(G26:I26)</x:f>
        <x:v>0</x:v>
      </x:c>
    </x:row>
    <x:row r="27">
      <x:c r="A27" s="54" t="str"/>
      <x:c r="B27" s="58"/>
      <x:c r="C27" s="58"/>
      <x:c r="D27" s="58"/>
      <x:c r="E27" s="58" t="n">
        <x:f>SUM(B27:D27)</x:f>
        <x:v>0</x:v>
      </x:c>
      <x:c r="F27" s="58"/>
      <x:c r="G27" s="58"/>
      <x:c r="H27" s="58"/>
      <x:c r="I27" s="58"/>
      <x:c r="J27" s="71" t="n">
        <x:f>SUM(G27:I27)</x:f>
        <x:v>0</x:v>
      </x:c>
    </x:row>
    <x:row r="28">
      <x:c r="A28" s="22" t="str">
        <x:v>Total Equity and Liabilities</x:v>
      </x:c>
      <x:c r="B28" s="30" t="n">
        <x:f>'Balance Sheet'!D45</x:f>
        <x:v>8786000</x:v>
      </x:c>
      <x:c r="C28" s="30"/>
      <x:c r="D28" s="30"/>
      <x:c r="E28" s="30" t="n">
        <x:f>SUM(B28:D28)</x:f>
        <x:v>8786000</x:v>
      </x:c>
      <x:c r="F28" s="30"/>
      <x:c r="G28" s="30"/>
      <x:c r="H28" s="30"/>
      <x:c r="I28" s="30"/>
      <x:c r="J28" s="51" t="n">
        <x:f>SUM(G28:I28)</x:f>
        <x:v>0</x:v>
      </x:c>
    </x:row>
    <x:row r="29">
      <x:c r="A29" s="64" t="str">
        <x:v>Check</x:v>
      </x:c>
      <x:c r="B29" s="86" t="n">
        <x:f>'Balance Sheet'!D46</x:f>
        <x:v>0</x:v>
      </x:c>
      <x:c r="C29" s="86"/>
      <x:c r="D29" s="86"/>
      <x:c r="E29" s="86" t="n">
        <x:f>SUM(B29:D29)</x:f>
        <x:v>0</x:v>
      </x:c>
      <x:c r="F29" s="86"/>
      <x:c r="G29" s="86"/>
      <x:c r="H29" s="86"/>
      <x:c r="I29" s="86"/>
      <x:c r="J29" s="68" t="n">
        <x:f>SUM(G29:I29)</x:f>
        <x:v>0</x:v>
      </x:c>
    </x:row>
  </x:sheetData>
  <x:mergeCells>
    <x:mergeCell ref="A1:J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26" customHeight="1">
      <x:c r="A1" s="3" t="str">
        <x:v>Cash Flow Statement — Consolidated</x:v>
      </x:c>
    </x:row>
    <x:row r="2">
      <x:c r="A2" s="19" t="str"/>
      <x:c r="B2" s="20" t="str">
        <x:v>TIN PKR</x:v>
      </x:c>
      <x:c r="C2" s="20" t="str">
        <x:v>Rider PKR</x:v>
      </x:c>
      <x:c r="D2" s="20" t="str">
        <x:v>OpenPort PKR</x:v>
      </x:c>
      <x:c r="E2" s="20" t="str">
        <x:v>TIN Cons (PKR)</x:v>
      </x:c>
      <x:c r="F2" s="20" t="str"/>
      <x:c r="G2" s="20" t="str">
        <x:v>TIN PKR</x:v>
      </x:c>
      <x:c r="H2" s="20" t="str">
        <x:v>Rider PKR</x:v>
      </x:c>
      <x:c r="I2" s="20" t="str">
        <x:v>OpenPort PKR</x:v>
      </x:c>
      <x:c r="J2" s="21" t="str">
        <x:v>TIN Cons (PKR)</x:v>
      </x:c>
    </x:row>
    <x:row r="3">
      <x:c r="A3" s="80" t="str"/>
      <x:c r="B3" s="81" t="str">
        <x:v>Jul</x:v>
      </x:c>
      <x:c r="C3" s="81" t="str">
        <x:v>Jul</x:v>
      </x:c>
      <x:c r="D3" s="81" t="str">
        <x:v>Jul</x:v>
      </x:c>
      <x:c r="E3" s="81" t="str">
        <x:v>Jul</x:v>
      </x:c>
      <x:c r="F3" s="81" t="str"/>
      <x:c r="G3" s="81" t="str">
        <x:v>Dec</x:v>
      </x:c>
      <x:c r="H3" s="81" t="str">
        <x:v>Dec</x:v>
      </x:c>
      <x:c r="I3" s="81" t="str">
        <x:v>Dec</x:v>
      </x:c>
      <x:c r="J3" s="82" t="str">
        <x:v>Dec</x:v>
      </x:c>
    </x:row>
    <x:row r="4">
      <x:c r="A4" s="54" t="str">
        <x:v>Beginning cash &amp; cash equivalents</x:v>
      </x:c>
      <x:c r="B4" s="58" t="n">
        <x:f>'Cash Flow Statement'!D12</x:f>
        <x:v>3800000</x:v>
      </x:c>
      <x:c r="C4" s="58"/>
      <x:c r="D4" s="58"/>
      <x:c r="E4" s="58" t="n">
        <x:f>SUM(B4:D4)</x:f>
        <x:v>3800000</x:v>
      </x:c>
      <x:c r="F4" s="58"/>
      <x:c r="G4" s="58"/>
      <x:c r="H4" s="58"/>
      <x:c r="I4" s="58"/>
      <x:c r="J4" s="71" t="n">
        <x:f>SUM(G4:I4)</x:f>
        <x:v>0</x:v>
      </x:c>
    </x:row>
    <x:row r="5">
      <x:c r="A5" s="22" t="str"/>
      <x:c r="B5" s="30"/>
      <x:c r="C5" s="30"/>
      <x:c r="D5" s="30"/>
      <x:c r="E5" s="30" t="n">
        <x:f>SUM(B5:D5)</x:f>
        <x:v>0</x:v>
      </x:c>
      <x:c r="F5" s="30"/>
      <x:c r="G5" s="30"/>
      <x:c r="H5" s="30"/>
      <x:c r="I5" s="30"/>
      <x:c r="J5" s="51" t="n">
        <x:f>SUM(G5:I5)</x:f>
        <x:v>0</x:v>
      </x:c>
    </x:row>
    <x:row r="6">
      <x:c r="A6" s="22" t="str">
        <x:v>Net income w/ FX</x:v>
      </x:c>
      <x:c r="B6" s="30" t="n">
        <x:f>'Profit and Loss'!D31</x:f>
        <x:v>1278000</x:v>
      </x:c>
      <x:c r="C6" s="30"/>
      <x:c r="D6" s="30"/>
      <x:c r="E6" s="30" t="n">
        <x:f>SUM(B6:D6)</x:f>
        <x:v>1278000</x:v>
      </x:c>
      <x:c r="F6" s="30"/>
      <x:c r="G6" s="30"/>
      <x:c r="H6" s="30"/>
      <x:c r="I6" s="30"/>
      <x:c r="J6" s="51" t="n">
        <x:f>SUM(G6:I6)</x:f>
        <x:v>0</x:v>
      </x:c>
    </x:row>
    <x:row r="7">
      <x:c r="A7" s="22" t="str"/>
      <x:c r="B7" s="30"/>
      <x:c r="C7" s="30"/>
      <x:c r="D7" s="30"/>
      <x:c r="E7" s="30" t="n">
        <x:f>SUM(B7:D7)</x:f>
        <x:v>0</x:v>
      </x:c>
      <x:c r="F7" s="30"/>
      <x:c r="G7" s="30"/>
      <x:c r="H7" s="30"/>
      <x:c r="I7" s="30"/>
      <x:c r="J7" s="51" t="n">
        <x:f>SUM(G7:I7)</x:f>
        <x:v>0</x:v>
      </x:c>
    </x:row>
    <x:row r="8">
      <x:c r="A8" s="54" t="str">
        <x:v>Working capital changes</x:v>
      </x:c>
      <x:c r="B8" s="58"/>
      <x:c r="C8" s="58"/>
      <x:c r="D8" s="58"/>
      <x:c r="E8" s="58" t="n">
        <x:f>SUM(B8:D8)</x:f>
        <x:v>0</x:v>
      </x:c>
      <x:c r="F8" s="58"/>
      <x:c r="G8" s="58"/>
      <x:c r="H8" s="58"/>
      <x:c r="I8" s="58"/>
      <x:c r="J8" s="71" t="n">
        <x:f>SUM(G8:I8)</x:f>
        <x:v>0</x:v>
      </x:c>
    </x:row>
    <x:row r="9">
      <x:c r="A9" s="22" t="str">
        <x:v>- (Increase) / decrease in current assets</x:v>
      </x:c>
      <x:c r="B9" s="30"/>
      <x:c r="C9" s="30"/>
      <x:c r="D9" s="30"/>
      <x:c r="E9" s="30" t="n">
        <x:f>SUM(B9:D9)</x:f>
        <x:v>0</x:v>
      </x:c>
      <x:c r="F9" s="30"/>
      <x:c r="G9" s="30"/>
      <x:c r="H9" s="30"/>
      <x:c r="I9" s="30"/>
      <x:c r="J9" s="51" t="n">
        <x:f>SUM(G9:I9)</x:f>
        <x:v>0</x:v>
      </x:c>
    </x:row>
    <x:row r="10">
      <x:c r="A10" s="22" t="str">
        <x:v>-- Receivables</x:v>
      </x:c>
      <x:c r="B10" s="30" t="n">
        <x:f>0</x:f>
        <x:v>0</x:v>
      </x:c>
      <x:c r="C10" s="30"/>
      <x:c r="D10" s="30"/>
      <x:c r="E10" s="30" t="n">
        <x:f>SUM(B10:D10)</x:f>
        <x:v>0</x:v>
      </x:c>
      <x:c r="F10" s="30"/>
      <x:c r="G10" s="30"/>
      <x:c r="H10" s="30"/>
      <x:c r="I10" s="30"/>
      <x:c r="J10" s="51" t="n">
        <x:f>SUM(G10:I10)</x:f>
        <x:v>0</x:v>
      </x:c>
    </x:row>
    <x:row r="11">
      <x:c r="A11" s="22" t="str">
        <x:v>-- Advances</x:v>
      </x:c>
      <x:c r="B11" s="30" t="n">
        <x:f>0</x:f>
        <x:v>0</x:v>
      </x:c>
      <x:c r="C11" s="30"/>
      <x:c r="D11" s="30"/>
      <x:c r="E11" s="30" t="n">
        <x:f>SUM(B11:D11)</x:f>
        <x:v>0</x:v>
      </x:c>
      <x:c r="F11" s="30"/>
      <x:c r="G11" s="30"/>
      <x:c r="H11" s="30"/>
      <x:c r="I11" s="30"/>
      <x:c r="J11" s="51" t="n">
        <x:f>SUM(G11:I11)</x:f>
        <x:v>0</x:v>
      </x:c>
    </x:row>
    <x:row r="12">
      <x:c r="A12" s="22" t="str"/>
      <x:c r="B12" s="30"/>
      <x:c r="C12" s="30"/>
      <x:c r="D12" s="30"/>
      <x:c r="E12" s="30" t="n">
        <x:f>SUM(B12:D12)</x:f>
        <x:v>0</x:v>
      </x:c>
      <x:c r="F12" s="30"/>
      <x:c r="G12" s="30"/>
      <x:c r="H12" s="30"/>
      <x:c r="I12" s="30"/>
      <x:c r="J12" s="51" t="n">
        <x:f>SUM(G12:I12)</x:f>
        <x:v>0</x:v>
      </x:c>
    </x:row>
    <x:row r="13">
      <x:c r="A13" s="22" t="str">
        <x:v>- Increase / (decrease) in current liabilities</x:v>
      </x:c>
      <x:c r="B13" s="30"/>
      <x:c r="C13" s="30"/>
      <x:c r="D13" s="30"/>
      <x:c r="E13" s="30" t="n">
        <x:f>SUM(B13:D13)</x:f>
        <x:v>0</x:v>
      </x:c>
      <x:c r="F13" s="30"/>
      <x:c r="G13" s="30"/>
      <x:c r="H13" s="30"/>
      <x:c r="I13" s="30"/>
      <x:c r="J13" s="51" t="n">
        <x:f>SUM(G13:I13)</x:f>
        <x:v>0</x:v>
      </x:c>
    </x:row>
    <x:row r="14">
      <x:c r="A14" s="22" t="str">
        <x:v>-- Creditors and other liabilities</x:v>
      </x:c>
      <x:c r="B14" s="30" t="n">
        <x:f>0</x:f>
        <x:v>0</x:v>
      </x:c>
      <x:c r="C14" s="30"/>
      <x:c r="D14" s="30"/>
      <x:c r="E14" s="30" t="n">
        <x:f>SUM(B14:D14)</x:f>
        <x:v>0</x:v>
      </x:c>
      <x:c r="F14" s="30"/>
      <x:c r="G14" s="30"/>
      <x:c r="H14" s="30"/>
      <x:c r="I14" s="30"/>
      <x:c r="J14" s="51" t="n">
        <x:f>SUM(G14:I14)</x:f>
        <x:v>0</x:v>
      </x:c>
    </x:row>
    <x:row r="15">
      <x:c r="A15" s="22" t="str"/>
      <x:c r="B15" s="30"/>
      <x:c r="C15" s="30"/>
      <x:c r="D15" s="30"/>
      <x:c r="E15" s="30" t="n">
        <x:f>SUM(B15:D15)</x:f>
        <x:v>0</x:v>
      </x:c>
      <x:c r="F15" s="30"/>
      <x:c r="G15" s="30"/>
      <x:c r="H15" s="30"/>
      <x:c r="I15" s="30"/>
      <x:c r="J15" s="51" t="n">
        <x:f>SUM(G15:I15)</x:f>
        <x:v>0</x:v>
      </x:c>
    </x:row>
    <x:row r="16">
      <x:c r="A16" s="54" t="str">
        <x:v>Cash from Operations</x:v>
      </x:c>
      <x:c r="B16" s="58" t="n">
        <x:f>SUM(B6:B14)</x:f>
        <x:v>1278000</x:v>
      </x:c>
      <x:c r="C16" s="58"/>
      <x:c r="D16" s="58"/>
      <x:c r="E16" s="58" t="n">
        <x:f>SUM(B16:D16)</x:f>
        <x:v>1278000</x:v>
      </x:c>
      <x:c r="F16" s="58"/>
      <x:c r="G16" s="58"/>
      <x:c r="H16" s="58"/>
      <x:c r="I16" s="58"/>
      <x:c r="J16" s="71" t="n">
        <x:f>SUM(G16:I16)</x:f>
        <x:v>0</x:v>
      </x:c>
    </x:row>
    <x:row r="17">
      <x:c r="A17" s="22" t="str"/>
      <x:c r="B17" s="30"/>
      <x:c r="C17" s="30"/>
      <x:c r="D17" s="30"/>
      <x:c r="E17" s="30" t="n">
        <x:f>SUM(B17:D17)</x:f>
        <x:v>0</x:v>
      </x:c>
      <x:c r="F17" s="30"/>
      <x:c r="G17" s="30"/>
      <x:c r="H17" s="30"/>
      <x:c r="I17" s="30"/>
      <x:c r="J17" s="51" t="n">
        <x:f>SUM(G17:I17)</x:f>
        <x:v>0</x:v>
      </x:c>
    </x:row>
    <x:row r="18">
      <x:c r="A18" s="54" t="str">
        <x:v>Capex</x:v>
      </x:c>
      <x:c r="B18" s="58" t="n">
        <x:f>'Cash Flow Statement'!D6-'Cash Flow Statement'!D7</x:f>
        <x:v>-620000</x:v>
      </x:c>
      <x:c r="C18" s="58"/>
      <x:c r="D18" s="58"/>
      <x:c r="E18" s="58" t="n">
        <x:f>SUM(B18:D18)</x:f>
        <x:v>-620000</x:v>
      </x:c>
      <x:c r="F18" s="58"/>
      <x:c r="G18" s="58"/>
      <x:c r="H18" s="58"/>
      <x:c r="I18" s="58"/>
      <x:c r="J18" s="71" t="n">
        <x:f>SUM(G18:I18)</x:f>
        <x:v>0</x:v>
      </x:c>
    </x:row>
    <x:row r="19">
      <x:c r="A19" s="22" t="str"/>
      <x:c r="B19" s="30"/>
      <x:c r="C19" s="30"/>
      <x:c r="D19" s="30"/>
      <x:c r="E19" s="30" t="n">
        <x:f>SUM(B19:D19)</x:f>
        <x:v>0</x:v>
      </x:c>
      <x:c r="F19" s="30"/>
      <x:c r="G19" s="30"/>
      <x:c r="H19" s="30"/>
      <x:c r="I19" s="30"/>
      <x:c r="J19" s="51" t="n">
        <x:f>SUM(G19:I19)</x:f>
        <x:v>0</x:v>
      </x:c>
    </x:row>
    <x:row r="20">
      <x:c r="A20" s="22" t="str">
        <x:v>Cash from Investing</x:v>
      </x:c>
      <x:c r="B20" s="30" t="n">
        <x:f>B18</x:f>
        <x:v>-620000</x:v>
      </x:c>
      <x:c r="C20" s="30"/>
      <x:c r="D20" s="30"/>
      <x:c r="E20" s="30" t="n">
        <x:f>SUM(B20:D20)</x:f>
        <x:v>-620000</x:v>
      </x:c>
      <x:c r="F20" s="30"/>
      <x:c r="G20" s="30"/>
      <x:c r="H20" s="30"/>
      <x:c r="I20" s="30"/>
      <x:c r="J20" s="51" t="n">
        <x:f>SUM(G20:I20)</x:f>
        <x:v>0</x:v>
      </x:c>
    </x:row>
    <x:row r="21">
      <x:c r="A21" s="22" t="str"/>
      <x:c r="B21" s="30"/>
      <x:c r="C21" s="30"/>
      <x:c r="D21" s="30"/>
      <x:c r="E21" s="30" t="n">
        <x:f>SUM(B21:D21)</x:f>
        <x:v>0</x:v>
      </x:c>
      <x:c r="F21" s="30"/>
      <x:c r="G21" s="30"/>
      <x:c r="H21" s="30"/>
      <x:c r="I21" s="30"/>
      <x:c r="J21" s="51" t="n">
        <x:f>SUM(G21:I21)</x:f>
        <x:v>0</x:v>
      </x:c>
    </x:row>
    <x:row r="22">
      <x:c r="A22" s="54" t="str">
        <x:v>Advance against issue of share capital</x:v>
      </x:c>
      <x:c r="B22" s="58" t="n">
        <x:f>'Cash Flow Statement'!D8-'Cash Flow Statement'!D9</x:f>
        <x:v>-150000</x:v>
      </x:c>
      <x:c r="C22" s="58"/>
      <x:c r="D22" s="58"/>
      <x:c r="E22" s="58" t="n">
        <x:f>SUM(B22:D22)</x:f>
        <x:v>-150000</x:v>
      </x:c>
      <x:c r="F22" s="58"/>
      <x:c r="G22" s="58"/>
      <x:c r="H22" s="58"/>
      <x:c r="I22" s="58"/>
      <x:c r="J22" s="71" t="n">
        <x:f>SUM(G22:I22)</x:f>
        <x:v>0</x:v>
      </x:c>
    </x:row>
    <x:row r="23">
      <x:c r="A23" s="22" t="str"/>
      <x:c r="B23" s="30"/>
      <x:c r="C23" s="30"/>
      <x:c r="D23" s="30"/>
      <x:c r="E23" s="30" t="n">
        <x:f>SUM(B23:D23)</x:f>
        <x:v>0</x:v>
      </x:c>
      <x:c r="F23" s="30"/>
      <x:c r="G23" s="30"/>
      <x:c r="H23" s="30"/>
      <x:c r="I23" s="30"/>
      <x:c r="J23" s="51" t="n">
        <x:f>SUM(G23:I23)</x:f>
        <x:v>0</x:v>
      </x:c>
    </x:row>
    <x:row r="24">
      <x:c r="A24" s="54" t="str">
        <x:v>Cash from Financing</x:v>
      </x:c>
      <x:c r="B24" s="58" t="n">
        <x:f>B22</x:f>
        <x:v>-150000</x:v>
      </x:c>
      <x:c r="C24" s="58"/>
      <x:c r="D24" s="58"/>
      <x:c r="E24" s="58" t="n">
        <x:f>SUM(B24:D24)</x:f>
        <x:v>-150000</x:v>
      </x:c>
      <x:c r="F24" s="58"/>
      <x:c r="G24" s="58"/>
      <x:c r="H24" s="58"/>
      <x:c r="I24" s="58"/>
      <x:c r="J24" s="71" t="n">
        <x:f>SUM(G24:I24)</x:f>
        <x:v>0</x:v>
      </x:c>
    </x:row>
    <x:row r="25">
      <x:c r="A25" s="22" t="str"/>
      <x:c r="B25" s="30"/>
      <x:c r="C25" s="30"/>
      <x:c r="D25" s="30"/>
      <x:c r="E25" s="30" t="n">
        <x:f>SUM(B25:D25)</x:f>
        <x:v>0</x:v>
      </x:c>
      <x:c r="F25" s="30"/>
      <x:c r="G25" s="30"/>
      <x:c r="H25" s="30"/>
      <x:c r="I25" s="30"/>
      <x:c r="J25" s="51" t="n">
        <x:f>SUM(G25:I25)</x:f>
        <x:v>0</x:v>
      </x:c>
    </x:row>
    <x:row r="26">
      <x:c r="A26" s="22" t="str">
        <x:v>Net change</x:v>
      </x:c>
      <x:c r="B26" s="30" t="n">
        <x:f>'Cash Flow Statement'!D11</x:f>
        <x:v>1399000</x:v>
      </x:c>
      <x:c r="C26" s="30"/>
      <x:c r="D26" s="30"/>
      <x:c r="E26" s="30" t="n">
        <x:f>SUM(B26:D26)</x:f>
        <x:v>1399000</x:v>
      </x:c>
      <x:c r="F26" s="30"/>
      <x:c r="G26" s="30"/>
      <x:c r="H26" s="30"/>
      <x:c r="I26" s="30"/>
      <x:c r="J26" s="51" t="n">
        <x:f>SUM(G26:I26)</x:f>
        <x:v>0</x:v>
      </x:c>
    </x:row>
    <x:row r="27">
      <x:c r="A27" s="22" t="str"/>
      <x:c r="B27" s="30"/>
      <x:c r="C27" s="30"/>
      <x:c r="D27" s="30"/>
      <x:c r="E27" s="30" t="n">
        <x:f>SUM(B27:D27)</x:f>
        <x:v>0</x:v>
      </x:c>
      <x:c r="F27" s="30"/>
      <x:c r="G27" s="30"/>
      <x:c r="H27" s="30"/>
      <x:c r="I27" s="30"/>
      <x:c r="J27" s="51" t="n">
        <x:f>SUM(G27:I27)</x:f>
        <x:v>0</x:v>
      </x:c>
    </x:row>
    <x:row r="28">
      <x:c r="A28" s="64" t="str">
        <x:v>Ending cash &amp; cash equivalents</x:v>
      </x:c>
      <x:c r="B28" s="86" t="n">
        <x:f>'Cash Flow Statement'!D13</x:f>
        <x:v>5199000</x:v>
      </x:c>
      <x:c r="C28" s="86"/>
      <x:c r="D28" s="86"/>
      <x:c r="E28" s="86" t="n">
        <x:f>SUM(B28:D28)</x:f>
        <x:v>5199000</x:v>
      </x:c>
      <x:c r="F28" s="86"/>
      <x:c r="G28" s="86"/>
      <x:c r="H28" s="86"/>
      <x:c r="I28" s="86"/>
      <x:c r="J28" s="68" t="n">
        <x:f>SUM(G28:I28)</x:f>
        <x:v>0</x:v>
      </x:c>
    </x:row>
  </x:sheetData>
  <x:mergeCells>
    <x:mergeCell ref="A1:J1"/>
  </x:mergeCells>
  <x:pageMargins left="0.7" right="0.7" top="0.75" bottom="0.75" header="0.3" footer="0.3"/>
</x:worksheet>
</file>