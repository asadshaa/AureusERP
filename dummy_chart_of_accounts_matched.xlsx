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Chart of Accounts" sheetId="2" r:id="rId6"/>
    <sheet state="visible" name="HBL Operating Account" sheetId="3" r:id="rId7"/>
    <sheet state="visible" name="Meezan Payroll Account" sheetId="4" r:id="rId8"/>
    <sheet state="visible" name="Transaction Mapping" sheetId="5" r:id="rId9"/>
    <sheet state="visible" name="Non-Bank Entries" sheetId="6" r:id="rId10"/>
    <sheet state="visible" name="Journal Entries" sheetId="7" r:id="rId11"/>
    <sheet state="visible" name="General Ledger" sheetId="8" r:id="rId12"/>
    <sheet state="visible" name="Trial Balance" sheetId="9" r:id="rId13"/>
    <sheet state="visible" name="Balance Sheet" sheetId="10" r:id="rId14"/>
    <sheet state="visible" name="Profit and Loss" sheetId="11" r:id="rId15"/>
    <sheet state="visible" name="Cash Flow Statement" sheetId="12" r:id="rId16"/>
    <sheet state="visible" name="Checks" sheetId="13" r:id="rId17"/>
  </sheets>
  <definedNames/>
  <calcPr/>
</workbook>
</file>

<file path=xl/sharedStrings.xml><?xml version="1.0" encoding="utf-8"?>
<sst xmlns="http://schemas.openxmlformats.org/spreadsheetml/2006/main" count="1939" uniqueCount="730">
  <si>
    <t>FY25 Dummy Accounting Workbook — July 2025</t>
  </si>
  <si>
    <t>Purpose</t>
  </si>
  <si>
    <t>Formula-linked accounting cycle from two raw bank statements</t>
  </si>
  <si>
    <t>HBL — Raw Bank Statement</t>
  </si>
  <si>
    <t>Entity</t>
  </si>
  <si>
    <t>Truck It In (Private) Limited</t>
  </si>
  <si>
    <t>Meezan Bank — Raw Bank Statement</t>
  </si>
  <si>
    <t>Currency</t>
  </si>
  <si>
    <t>PKR</t>
  </si>
  <si>
    <t>Account title</t>
  </si>
  <si>
    <t>Period</t>
  </si>
  <si>
    <t>01-Jul-2025 to 31-Jul-2025</t>
  </si>
  <si>
    <t>Model status</t>
  </si>
  <si>
    <t>Opening balance</t>
  </si>
  <si>
    <t>Account number</t>
  </si>
  <si>
    <t>PK55HABB0022827200508103</t>
  </si>
  <si>
    <t>PK24MEZN0001110107095251</t>
  </si>
  <si>
    <t>Total debits</t>
  </si>
  <si>
    <t>Blue font</t>
  </si>
  <si>
    <t>Editable inputs / mappings</t>
  </si>
  <si>
    <t>Green font</t>
  </si>
  <si>
    <t>Links to another worksheet</t>
  </si>
  <si>
    <t>Step</t>
  </si>
  <si>
    <t>Statement period</t>
  </si>
  <si>
    <t>Total credits</t>
  </si>
  <si>
    <t>Source</t>
  </si>
  <si>
    <t>Feeds</t>
  </si>
  <si>
    <t>What is formula-driven</t>
  </si>
  <si>
    <t>Manual review area</t>
  </si>
  <si>
    <t>Control</t>
  </si>
  <si>
    <t>Closing balance</t>
  </si>
  <si>
    <t>Chart of Accounts</t>
  </si>
  <si>
    <t>Mapping, Journal, GL, TB</t>
  </si>
  <si>
    <t>Account names and classifications</t>
  </si>
  <si>
    <t>Valid account structure</t>
  </si>
  <si>
    <t>All GL codes found</t>
  </si>
  <si>
    <t>Transaction Date</t>
  </si>
  <si>
    <t>Raw bank statements</t>
  </si>
  <si>
    <t>Transaction Mapping</t>
  </si>
  <si>
    <t>Dates, references, debits, credits</t>
  </si>
  <si>
    <t>Value Date</t>
  </si>
  <si>
    <t>Description</t>
  </si>
  <si>
    <t>None—raw evidence remains unchanged</t>
  </si>
  <si>
    <t>Reference</t>
  </si>
  <si>
    <t>Opening + credits − debits = closing</t>
  </si>
  <si>
    <t>Debit (PKR)</t>
  </si>
  <si>
    <t>Credit (PKR)</t>
  </si>
  <si>
    <t>Balance (PKR)</t>
  </si>
  <si>
    <t>TRUCK IT IN PVT LTD</t>
  </si>
  <si>
    <t>Journal Entries, Cash Flow</t>
  </si>
  <si>
    <t>GL names and transaction details</t>
  </si>
  <si>
    <t>IBFT CR - Daraz Pakistan settlement INV-DZ-250701</t>
  </si>
  <si>
    <t>Type, counterparty, tax, documents, GL selection</t>
  </si>
  <si>
    <t>All rows approved/matched</t>
  </si>
  <si>
    <t>HBL250701001</t>
  </si>
  <si>
    <t>Non-Bank Entries</t>
  </si>
  <si>
    <t>Journal Entries</t>
  </si>
  <si>
    <t>Adjustment account names</t>
  </si>
  <si>
    <t>Accrual-basis adjustments</t>
  </si>
  <si>
    <t>Entry support and approval</t>
  </si>
  <si>
    <t>General Ledger</t>
  </si>
  <si>
    <t>All posted lines</t>
  </si>
  <si>
    <t>Posting approval</t>
  </si>
  <si>
    <t>Debits = credits</t>
  </si>
  <si>
    <t>Trial Balance</t>
  </si>
  <si>
    <t>Account totals and balances</t>
  </si>
  <si>
    <t>Online transfer - Office rent July - Blue Area Properties</t>
  </si>
  <si>
    <t>HBL250701002</t>
  </si>
  <si>
    <t>None</t>
  </si>
  <si>
    <t>Ledger ties to journal</t>
  </si>
  <si>
    <t>FY25</t>
  </si>
  <si>
    <t>P&amp;L and Balance Sheet</t>
  </si>
  <si>
    <t>Statement values</t>
  </si>
  <si>
    <t>TB debits = credits</t>
  </si>
  <si>
    <t>Raast CR - Onic distribution collection Batch 0702</t>
  </si>
  <si>
    <t>Opening-month cash deposit - payroll adjustments</t>
  </si>
  <si>
    <t>HBL250702003</t>
  </si>
  <si>
    <t>MBL250701001</t>
  </si>
  <si>
    <t>Mapping + statements</t>
  </si>
  <si>
    <t>Cash Flow and Checks</t>
  </si>
  <si>
    <t>Cash classifications and reconciliation</t>
  </si>
  <si>
    <t>POS 7712 - Shell F-8 Islamabad</t>
  </si>
  <si>
    <t>Ending cash ties everywhere</t>
  </si>
  <si>
    <t>HBL250702004</t>
  </si>
  <si>
    <t>Cheque 104583 - Pak Cargo Fleet Services</t>
  </si>
  <si>
    <t>CHQ104583</t>
  </si>
  <si>
    <t>Withholding tax on cheque 104583</t>
  </si>
  <si>
    <t>Opening</t>
  </si>
  <si>
    <t>IBFT - Employee reimbursement - A. Khan</t>
  </si>
  <si>
    <t>WHT104583</t>
  </si>
  <si>
    <t>MBL250702002</t>
  </si>
  <si>
    <t>Movement</t>
  </si>
  <si>
    <t>Adjustment</t>
  </si>
  <si>
    <t>IBFT CR - Sapphire merchant COD settlement</t>
  </si>
  <si>
    <t>HBL250704007</t>
  </si>
  <si>
    <t>Closing</t>
  </si>
  <si>
    <t>Nature</t>
  </si>
  <si>
    <t>Online payment - PTCL corporate internet June</t>
  </si>
  <si>
    <t>HBL250704008</t>
  </si>
  <si>
    <t>IBFT - Rider incentive batch 01</t>
  </si>
  <si>
    <t>MBL250703003</t>
  </si>
  <si>
    <t>ATM cash withdrawal - HBL Blue Area</t>
  </si>
  <si>
    <t>ATM250705</t>
  </si>
  <si>
    <t>Transfer to Meezan Bank payroll account</t>
  </si>
  <si>
    <t>HBL250707011</t>
  </si>
  <si>
    <t>Classification 1</t>
  </si>
  <si>
    <t>Online payment - EOBI contribution June</t>
  </si>
  <si>
    <t>MBL250704004</t>
  </si>
  <si>
    <t>Classification 2</t>
  </si>
  <si>
    <t>Classification 3</t>
  </si>
  <si>
    <t>Classification 4</t>
  </si>
  <si>
    <t>Online payment - Social Security contribution June</t>
  </si>
  <si>
    <t>IBFT CR - Merchant advance repayment - Saeed Ghani</t>
  </si>
  <si>
    <t>Classification 5</t>
  </si>
  <si>
    <t>HBL250708012</t>
  </si>
  <si>
    <t>MBL250705005</t>
  </si>
  <si>
    <t>Classification 7</t>
  </si>
  <si>
    <t>Code</t>
  </si>
  <si>
    <t>Online transfer - Vehicle maintenance - Toyota Islamabad</t>
  </si>
  <si>
    <t>Title</t>
  </si>
  <si>
    <t>HBL250708013</t>
  </si>
  <si>
    <t>Debit</t>
  </si>
  <si>
    <t>Incoming IBFT from HBL operating account</t>
  </si>
  <si>
    <t>MBL250707006</t>
  </si>
  <si>
    <t>Card 8821 - Microsoft 365 Business subscription</t>
  </si>
  <si>
    <t>Credit</t>
  </si>
  <si>
    <t>HBL250709014</t>
  </si>
  <si>
    <t>Debit2</t>
  </si>
  <si>
    <t>Credit3</t>
  </si>
  <si>
    <t>Foreign transaction fee - Microsoft subscription</t>
  </si>
  <si>
    <t>Bulk salary transfer - July payroll batch A</t>
  </si>
  <si>
    <t>HBL250709015</t>
  </si>
  <si>
    <t>Debit4</t>
  </si>
  <si>
    <t>PAY250707A</t>
  </si>
  <si>
    <t>Credit5</t>
  </si>
  <si>
    <t>Debit6</t>
  </si>
  <si>
    <t>Cash deposit - Islamabad operations collections</t>
  </si>
  <si>
    <t>CD250710</t>
  </si>
  <si>
    <t>Credit7</t>
  </si>
  <si>
    <t>Column 1</t>
  </si>
  <si>
    <t>Payroll processing charges</t>
  </si>
  <si>
    <t>MBL250707008</t>
  </si>
  <si>
    <t>Cheque 104584 - Warehouse security deposit</t>
  </si>
  <si>
    <t>Column 2</t>
  </si>
  <si>
    <t>CHQ104584</t>
  </si>
  <si>
    <t>B/S</t>
  </si>
  <si>
    <t>IBFT CR - Daraz Pakistan settlement INV-DZ-250712</t>
  </si>
  <si>
    <t>HBL250712018</t>
  </si>
  <si>
    <t>FED on payroll processing charges</t>
  </si>
  <si>
    <t>Assets</t>
  </si>
  <si>
    <t>MBL250707009</t>
  </si>
  <si>
    <t>Non Current Assets</t>
  </si>
  <si>
    <t>Online transfer - Diesel supplier - PSO Fleet Card</t>
  </si>
  <si>
    <t>HBL250714019</t>
  </si>
  <si>
    <t>Property and equipment</t>
  </si>
  <si>
    <t>Cost</t>
  </si>
  <si>
    <t>Bank service charges - July</t>
  </si>
  <si>
    <t>HBL250715020</t>
  </si>
  <si>
    <t>Furniture and fixture</t>
  </si>
  <si>
    <t>1011</t>
  </si>
  <si>
    <t>IBFT - Employee advance - M. Usman</t>
  </si>
  <si>
    <t>FED on bank service charges</t>
  </si>
  <si>
    <t>MBL250708010</t>
  </si>
  <si>
    <t>HBL250715021</t>
  </si>
  <si>
    <t>Raast CR - Corporate delivery customer AR-1098</t>
  </si>
  <si>
    <t>HBL250716022</t>
  </si>
  <si>
    <t>Bulk transfer - Contract drivers settlement W27</t>
  </si>
  <si>
    <t>MBL250710011</t>
  </si>
  <si>
    <t>Online payment - Jazz corporate mobile bill</t>
  </si>
  <si>
    <t>HBL250717023</t>
  </si>
  <si>
    <t>Raast reversal - failed driver payment W27</t>
  </si>
  <si>
    <t>Cheque 104585 - Packaging material supplier</t>
  </si>
  <si>
    <t>CHQ104585</t>
  </si>
  <si>
    <t>MBL250711012</t>
  </si>
  <si>
    <t>0</t>
  </si>
  <si>
    <t>IBFT CR - Onic distribution collection Batch 0719</t>
  </si>
  <si>
    <t>HBL250719025</t>
  </si>
  <si>
    <t>People</t>
  </si>
  <si>
    <t>Raast retry - driver payment W27</t>
  </si>
  <si>
    <t>MBL250712013</t>
  </si>
  <si>
    <t>HBL250721026</t>
  </si>
  <si>
    <t>Online transfer - Insurance premium - EFU General</t>
  </si>
  <si>
    <t>HBL250722027</t>
  </si>
  <si>
    <t>IBFT - Staff travel advance - Lahore operations</t>
  </si>
  <si>
    <t>MBL250714014</t>
  </si>
  <si>
    <t>IBFT CR - COD settlement - Retail merchant pool</t>
  </si>
  <si>
    <t>HBL250723028</t>
  </si>
  <si>
    <t>Leasehold building</t>
  </si>
  <si>
    <t>1012</t>
  </si>
  <si>
    <t>Cash deposit - unused staff advance returned</t>
  </si>
  <si>
    <t>Card 8821 - AWS cloud services</t>
  </si>
  <si>
    <t>HBL250724029</t>
  </si>
  <si>
    <t>CD250716</t>
  </si>
  <si>
    <t>Cheque return charges - customer cheque 77891</t>
  </si>
  <si>
    <t>HBL250725030</t>
  </si>
  <si>
    <t>IBFT CR - Customer cheque 77891 redeposited</t>
  </si>
  <si>
    <t>HBL250728031</t>
  </si>
  <si>
    <t>Bulk transfer - Contract drivers settlement W28</t>
  </si>
  <si>
    <t>MBL250718016</t>
  </si>
  <si>
    <t>Online transfer - Legal and professional fee</t>
  </si>
  <si>
    <t>HBL250729032</t>
  </si>
  <si>
    <t>Profit credited on current-plus account</t>
  </si>
  <si>
    <t>HBL250730033</t>
  </si>
  <si>
    <t>MBL250721017</t>
  </si>
  <si>
    <t>Zakat deduction on profit account</t>
  </si>
  <si>
    <t>HBL250731034</t>
  </si>
  <si>
    <t>Travel &amp; Entertainment</t>
  </si>
  <si>
    <t>Bulk salary transfer - July payroll batch B</t>
  </si>
  <si>
    <t>PAY250721B</t>
  </si>
  <si>
    <t>Advance tax on bank profit</t>
  </si>
  <si>
    <t>HBL250731035</t>
  </si>
  <si>
    <t>IBFT - Employee medical reimbursement</t>
  </si>
  <si>
    <t>MBL250722019</t>
  </si>
  <si>
    <t>Computers</t>
  </si>
  <si>
    <t>Bulk transfer - Contract drivers settlement W29</t>
  </si>
  <si>
    <t>MBL250724020</t>
  </si>
  <si>
    <t>1013</t>
  </si>
  <si>
    <t>Raast CR - employee advance recovery</t>
  </si>
  <si>
    <t>MBL250725021</t>
  </si>
  <si>
    <t>IBFT - Final settlement - Former employee</t>
  </si>
  <si>
    <t>MBL250728022</t>
  </si>
  <si>
    <t>Bulk transfer - Contract drivers settlement W30</t>
  </si>
  <si>
    <t>MBL250729023</t>
  </si>
  <si>
    <t>MBL250731024</t>
  </si>
  <si>
    <t>Office Equipments</t>
  </si>
  <si>
    <t>1014</t>
  </si>
  <si>
    <t>MBL250731025</t>
  </si>
  <si>
    <t>Vehicles</t>
  </si>
  <si>
    <t>1015</t>
  </si>
  <si>
    <t>Intanbgible assets</t>
  </si>
  <si>
    <t>Intangible Assets</t>
  </si>
  <si>
    <t>1016</t>
  </si>
  <si>
    <t>Transaction Mapping and Review</t>
  </si>
  <si>
    <t>Map ID</t>
  </si>
  <si>
    <t>Bank</t>
  </si>
  <si>
    <t>Date</t>
  </si>
  <si>
    <t>Transaction Type</t>
  </si>
  <si>
    <t>Counterparty</t>
  </si>
  <si>
    <t>Supporting Document</t>
  </si>
  <si>
    <t>Bank GL Code</t>
  </si>
  <si>
    <t>Bank GL Name</t>
  </si>
  <si>
    <t>Offset GL Code</t>
  </si>
  <si>
    <t>Accumulated Depreciation</t>
  </si>
  <si>
    <t>Offset GL Name</t>
  </si>
  <si>
    <t>Tax Treatment</t>
  </si>
  <si>
    <t>Review Status</t>
  </si>
  <si>
    <t>Accumulated depreciation</t>
  </si>
  <si>
    <t>Transfer Match ID</t>
  </si>
  <si>
    <t>1017</t>
  </si>
  <si>
    <t>Posting Status</t>
  </si>
  <si>
    <t>Cash Flow Category</t>
  </si>
  <si>
    <t>MAP-001</t>
  </si>
  <si>
    <t>HBL</t>
  </si>
  <si>
    <t>Customer receipt</t>
  </si>
  <si>
    <t>Daraz Pakistan</t>
  </si>
  <si>
    <t>Current Assets</t>
  </si>
  <si>
    <t>Invoice INV-DZ-250701</t>
  </si>
  <si>
    <t>Trade debts</t>
  </si>
  <si>
    <t>unsecured</t>
  </si>
  <si>
    <t>Considered good</t>
  </si>
  <si>
    <t>Non-Bank Journal Entries</t>
  </si>
  <si>
    <t>Trade Debtors</t>
  </si>
  <si>
    <t>1018</t>
  </si>
  <si>
    <t>Entry ID</t>
  </si>
  <si>
    <t>Debit GL</t>
  </si>
  <si>
    <t>Debit Account</t>
  </si>
  <si>
    <t>Credit GL</t>
  </si>
  <si>
    <t>Credit Account</t>
  </si>
  <si>
    <t>Amount</t>
  </si>
  <si>
    <t>Advances, deposits and prepayments</t>
  </si>
  <si>
    <t>Advances</t>
  </si>
  <si>
    <t>Cash Flow Impact</t>
  </si>
  <si>
    <t>Carriers</t>
  </si>
  <si>
    <t>NB-001</t>
  </si>
  <si>
    <t>Advance to carriers</t>
  </si>
  <si>
    <t>1019</t>
  </si>
  <si>
    <t>Unpaid customer invoice - July services</t>
  </si>
  <si>
    <t>N/A</t>
  </si>
  <si>
    <t>Approved</t>
  </si>
  <si>
    <t>Post</t>
  </si>
  <si>
    <t>Operating - Receipts</t>
  </si>
  <si>
    <t>MAP-002</t>
  </si>
  <si>
    <t>Journal Entries — Formula Linked</t>
  </si>
  <si>
    <t>Long term advances and deposits</t>
  </si>
  <si>
    <t>JE ID</t>
  </si>
  <si>
    <t>Rent payment</t>
  </si>
  <si>
    <t>Blue Area Properties</t>
  </si>
  <si>
    <t>Lease/rent invoice</t>
  </si>
  <si>
    <t>Source Reference</t>
  </si>
  <si>
    <t>To employees</t>
  </si>
  <si>
    <t>GL Code</t>
  </si>
  <si>
    <t>Advance to BYOD</t>
  </si>
  <si>
    <t>GL Account</t>
  </si>
  <si>
    <t>1020</t>
  </si>
  <si>
    <t>Output tax review</t>
  </si>
  <si>
    <t>Customer invoice INV-250731</t>
  </si>
  <si>
    <t>Non-cash</t>
  </si>
  <si>
    <t>NB-002</t>
  </si>
  <si>
    <t>Unpaid supplier bill - carrier services</t>
  </si>
  <si>
    <t>Input tax review</t>
  </si>
  <si>
    <t>Operating - Payments</t>
  </si>
  <si>
    <t>MAP-003</t>
  </si>
  <si>
    <t>Onic</t>
  </si>
  <si>
    <t>Collection batch 0702</t>
  </si>
  <si>
    <t>Deposits</t>
  </si>
  <si>
    <t>WHT review</t>
  </si>
  <si>
    <t>Security deposit office</t>
  </si>
  <si>
    <t>Supplier bill BILL-250731</t>
  </si>
  <si>
    <t>Security deposit-Office</t>
  </si>
  <si>
    <t>NB-003</t>
  </si>
  <si>
    <t>1021</t>
  </si>
  <si>
    <t>Month-end utilities accrual</t>
  </si>
  <si>
    <t>MAP-004</t>
  </si>
  <si>
    <t>Real Estate</t>
  </si>
  <si>
    <t>Fuel expense</t>
  </si>
  <si>
    <t>Shell Pakistan</t>
  </si>
  <si>
    <t>POS slip 7712</t>
  </si>
  <si>
    <t>Accrual schedule</t>
  </si>
  <si>
    <t>NB-004</t>
  </si>
  <si>
    <t>One month insurance expense released from prepayment</t>
  </si>
  <si>
    <t>Customers</t>
  </si>
  <si>
    <t>Security Deposits - Customer</t>
  </si>
  <si>
    <t>1022</t>
  </si>
  <si>
    <t>MAP-005</t>
  </si>
  <si>
    <t>Profit</t>
  </si>
  <si>
    <t>Carrier payment</t>
  </si>
  <si>
    <t>Pak Cargo Fleet Services</t>
  </si>
  <si>
    <t>Vendor bill + cheque</t>
  </si>
  <si>
    <t>Security deposit - carriers</t>
  </si>
  <si>
    <t>1023</t>
  </si>
  <si>
    <t>Insurance amortization schedule</t>
  </si>
  <si>
    <t>NB-005</t>
  </si>
  <si>
    <t>Monthly depreciation on equipment</t>
  </si>
  <si>
    <t>WHT Profit</t>
  </si>
  <si>
    <t>WHT applicable</t>
  </si>
  <si>
    <t>MAP-006</t>
  </si>
  <si>
    <t>Margin against guarantee</t>
  </si>
  <si>
    <t>Bank Guarrantee</t>
  </si>
  <si>
    <t>1024</t>
  </si>
  <si>
    <t>Fixed asset register</t>
  </si>
  <si>
    <t>NB-006</t>
  </si>
  <si>
    <t>Payroll expense accrued but unpaid</t>
  </si>
  <si>
    <t>Vendor withholding tax</t>
  </si>
  <si>
    <t>FBR</t>
  </si>
  <si>
    <t>WHT challan / vendor bill</t>
  </si>
  <si>
    <t>Intercompany</t>
  </si>
  <si>
    <t>Withholding tax</t>
  </si>
  <si>
    <t>Payroll</t>
  </si>
  <si>
    <t>Payroll register</t>
  </si>
  <si>
    <t>MAP-007</t>
  </si>
  <si>
    <t>NB-007</t>
  </si>
  <si>
    <t>Current income tax provision</t>
  </si>
  <si>
    <t>Advance to Employees</t>
  </si>
  <si>
    <t>1025</t>
  </si>
  <si>
    <t>Sapphire</t>
  </si>
  <si>
    <t>COD settlement report</t>
  </si>
  <si>
    <t>Current tax</t>
  </si>
  <si>
    <t>Tax computation</t>
  </si>
  <si>
    <t>Prepayments</t>
  </si>
  <si>
    <t>MAP-008</t>
  </si>
  <si>
    <t>1026</t>
  </si>
  <si>
    <t>Utility payment</t>
  </si>
  <si>
    <t>PTCL</t>
  </si>
  <si>
    <t>PTCL invoice</t>
  </si>
  <si>
    <t>Libailities</t>
  </si>
  <si>
    <t>Current Liabilities</t>
  </si>
  <si>
    <t>Accrued and other liabilities</t>
  </si>
  <si>
    <t>Sales tax payable</t>
  </si>
  <si>
    <t>Input sales tax</t>
  </si>
  <si>
    <t>1027</t>
  </si>
  <si>
    <t>MAP-009</t>
  </si>
  <si>
    <t>Petty cash withdrawal</t>
  </si>
  <si>
    <t>Petty Cash Custodian</t>
  </si>
  <si>
    <t>Cash withdrawal slip</t>
  </si>
  <si>
    <t>Cash &amp; Bank Balances</t>
  </si>
  <si>
    <t>Cash at bank</t>
  </si>
  <si>
    <t>Current accounts</t>
  </si>
  <si>
    <t>PK49DUIB0000000627075001</t>
  </si>
  <si>
    <t>1028</t>
  </si>
  <si>
    <t>MAP-010</t>
  </si>
  <si>
    <t>Inter-bank transfer</t>
  </si>
  <si>
    <t>Meezan Payroll Account</t>
  </si>
  <si>
    <t>Transfer pair TRF-0707</t>
  </si>
  <si>
    <t>1029</t>
  </si>
  <si>
    <t>TRF-0707</t>
  </si>
  <si>
    <t>Transfer</t>
  </si>
  <si>
    <t>MAP-011</t>
  </si>
  <si>
    <t>Savings account</t>
  </si>
  <si>
    <t>1030</t>
  </si>
  <si>
    <t>Saeed Ghani</t>
  </si>
  <si>
    <t>Merchant settlement advice</t>
  </si>
  <si>
    <t>MAP-012</t>
  </si>
  <si>
    <t>PK75MPBL0124067140164610</t>
  </si>
  <si>
    <t>1031</t>
  </si>
  <si>
    <t>Vehicle maintenance</t>
  </si>
  <si>
    <t>Toyota Islamabad</t>
  </si>
  <si>
    <t>Workshop invoice</t>
  </si>
  <si>
    <t>Net Movement</t>
  </si>
  <si>
    <t>Running Balance</t>
  </si>
  <si>
    <t>MAP-013</t>
  </si>
  <si>
    <t>Software subscription</t>
  </si>
  <si>
    <t>Microsoft</t>
  </si>
  <si>
    <t>Sales Tax Payable</t>
  </si>
  <si>
    <t>Microsoft invoice</t>
  </si>
  <si>
    <t>1032</t>
  </si>
  <si>
    <t>Reverse charge review</t>
  </si>
  <si>
    <t>MAP-014</t>
  </si>
  <si>
    <t>Bank fee</t>
  </si>
  <si>
    <t>Bank statement</t>
  </si>
  <si>
    <t>Other liabilities</t>
  </si>
  <si>
    <t>Contract liability</t>
  </si>
  <si>
    <t>1033</t>
  </si>
  <si>
    <t>MAP-015</t>
  </si>
  <si>
    <t>Operations collection</t>
  </si>
  <si>
    <t>Islamabad Operations</t>
  </si>
  <si>
    <t>Daily collection sheet</t>
  </si>
  <si>
    <t>MAP-016</t>
  </si>
  <si>
    <t>Accrued expenses</t>
  </si>
  <si>
    <t>Accrued payroll</t>
  </si>
  <si>
    <t>Security deposit</t>
  </si>
  <si>
    <t>Warehouse landlord</t>
  </si>
  <si>
    <t>Deposit agreement</t>
  </si>
  <si>
    <t>1034</t>
  </si>
  <si>
    <t>Investing - Payments</t>
  </si>
  <si>
    <t>MAP-017</t>
  </si>
  <si>
    <t>1035</t>
  </si>
  <si>
    <t>Invoice INV-DZ-250712</t>
  </si>
  <si>
    <t>Withholding income tax payable</t>
  </si>
  <si>
    <t>Withholding tax payable:Withholding tax - Vendors</t>
  </si>
  <si>
    <t>1036</t>
  </si>
  <si>
    <t>MAP-018</t>
  </si>
  <si>
    <t>Equity</t>
  </si>
  <si>
    <t>PSO</t>
  </si>
  <si>
    <t>Fleet card statement</t>
  </si>
  <si>
    <t>Advance against issuance of shares</t>
  </si>
  <si>
    <t>Advance against issue of shares</t>
  </si>
  <si>
    <t>1037</t>
  </si>
  <si>
    <t>Share capital and reserves</t>
  </si>
  <si>
    <t>Reserves</t>
  </si>
  <si>
    <t>MAP-019</t>
  </si>
  <si>
    <t>Accumulated losses</t>
  </si>
  <si>
    <t>Retained Earnings</t>
  </si>
  <si>
    <t>1038</t>
  </si>
  <si>
    <t>Share premium</t>
  </si>
  <si>
    <t>1039</t>
  </si>
  <si>
    <t>MAP-020</t>
  </si>
  <si>
    <t>Federal excise duty</t>
  </si>
  <si>
    <t>FBR / HBL</t>
  </si>
  <si>
    <t>FED expense</t>
  </si>
  <si>
    <t>MAP-021</t>
  </si>
  <si>
    <t>Share capital</t>
  </si>
  <si>
    <t>Issued, Subscribed and Paid-up Capital</t>
  </si>
  <si>
    <t>Corporate customer</t>
  </si>
  <si>
    <t>Invoice AR-1098</t>
  </si>
  <si>
    <t>1040</t>
  </si>
  <si>
    <t>Professional Services</t>
  </si>
  <si>
    <t>MAP-022</t>
  </si>
  <si>
    <t>ABHI</t>
  </si>
  <si>
    <t>1041</t>
  </si>
  <si>
    <t>Jazz</t>
  </si>
  <si>
    <t>Jazz invoice</t>
  </si>
  <si>
    <t>MAP-023</t>
  </si>
  <si>
    <t>Audit Fee Payable</t>
  </si>
  <si>
    <t>1042</t>
  </si>
  <si>
    <t>Packaging supplies</t>
  </si>
  <si>
    <t>Packaging Supplier</t>
  </si>
  <si>
    <t>Vendor invoice</t>
  </si>
  <si>
    <t>Offline Marketing &amp; Channels</t>
  </si>
  <si>
    <t>Prepaid Leasehold</t>
  </si>
  <si>
    <t>1043</t>
  </si>
  <si>
    <t>MAP-024</t>
  </si>
  <si>
    <t>Collection batch 0719</t>
  </si>
  <si>
    <t>Taxation - net</t>
  </si>
  <si>
    <t>Advance tax</t>
  </si>
  <si>
    <t>1044</t>
  </si>
  <si>
    <t>MAP-025</t>
  </si>
  <si>
    <t>Transfer pair TRF-0721</t>
  </si>
  <si>
    <t>Deducted</t>
  </si>
  <si>
    <t>WHT on Bank Profit</t>
  </si>
  <si>
    <t>1045</t>
  </si>
  <si>
    <t>TRF-0721</t>
  </si>
  <si>
    <t>MAP-026</t>
  </si>
  <si>
    <t>Paid</t>
  </si>
  <si>
    <t>Withholding tax :Withholding tax - Utilities</t>
  </si>
  <si>
    <t>1046</t>
  </si>
  <si>
    <t>Insurance prepayment</t>
  </si>
  <si>
    <t>EFU General</t>
  </si>
  <si>
    <t>Insurance policy</t>
  </si>
  <si>
    <t>Provision For Taxation</t>
  </si>
  <si>
    <t>MAP-027</t>
  </si>
  <si>
    <t>Provision for Taxation</t>
  </si>
  <si>
    <t>1047</t>
  </si>
  <si>
    <t>Retail merchant pool</t>
  </si>
  <si>
    <t>P&amp;L</t>
  </si>
  <si>
    <t>Expenses</t>
  </si>
  <si>
    <t>Taxation</t>
  </si>
  <si>
    <t>Current</t>
  </si>
  <si>
    <t>Taxation ( Current Year)</t>
  </si>
  <si>
    <t>MAP-028</t>
  </si>
  <si>
    <t>1048</t>
  </si>
  <si>
    <t>Cloud services</t>
  </si>
  <si>
    <t>Amazon Web Services</t>
  </si>
  <si>
    <t>AWS invoice</t>
  </si>
  <si>
    <t>Direct expenses</t>
  </si>
  <si>
    <t>Fleet subsidy</t>
  </si>
  <si>
    <t>Fleet Subsidy</t>
  </si>
  <si>
    <t>1049</t>
  </si>
  <si>
    <t>MAP-029</t>
  </si>
  <si>
    <t>Revenue</t>
  </si>
  <si>
    <t>Revenue - net</t>
  </si>
  <si>
    <t>Services to shippers - net</t>
  </si>
  <si>
    <t>Sales revenue</t>
  </si>
  <si>
    <t>1050</t>
  </si>
  <si>
    <t>MAP-030</t>
  </si>
  <si>
    <t>Customer 77891</t>
  </si>
  <si>
    <t>Cheque / deposit slip</t>
  </si>
  <si>
    <t>Administrative expenses</t>
  </si>
  <si>
    <t>Allowance for doubtful debts</t>
  </si>
  <si>
    <t>1051</t>
  </si>
  <si>
    <t>MAP-031</t>
  </si>
  <si>
    <t>Professional fee</t>
  </si>
  <si>
    <t>Legal Adviser</t>
  </si>
  <si>
    <t>Professional invoice</t>
  </si>
  <si>
    <t>MAP-032</t>
  </si>
  <si>
    <t>Bank profit</t>
  </si>
  <si>
    <t>1052</t>
  </si>
  <si>
    <t>Advance tax review</t>
  </si>
  <si>
    <t>MAP-033</t>
  </si>
  <si>
    <t>Allowance for advance for laptops</t>
  </si>
  <si>
    <t>Zakat expense</t>
  </si>
  <si>
    <t>1053</t>
  </si>
  <si>
    <t>MAP-034</t>
  </si>
  <si>
    <t>Carrier cost</t>
  </si>
  <si>
    <t>Trucker's Commission</t>
  </si>
  <si>
    <t>Advance income tax</t>
  </si>
  <si>
    <t>MAP-035</t>
  </si>
  <si>
    <t>Meezan</t>
  </si>
  <si>
    <t>1054</t>
  </si>
  <si>
    <t>Payroll adjustment deposit</t>
  </si>
  <si>
    <t>Payroll Custodian</t>
  </si>
  <si>
    <t>Deposit slip</t>
  </si>
  <si>
    <t>MAP-036</t>
  </si>
  <si>
    <t>Employee reimbursement</t>
  </si>
  <si>
    <t>Trucker's Cost - Fuel</t>
  </si>
  <si>
    <t>A. Khan</t>
  </si>
  <si>
    <t>Expense claim</t>
  </si>
  <si>
    <t>1055</t>
  </si>
  <si>
    <t>MAP-037</t>
  </si>
  <si>
    <t>Salaries and other benefits</t>
  </si>
  <si>
    <t>SALARIES &amp; WAGES</t>
  </si>
  <si>
    <t>1056</t>
  </si>
  <si>
    <t>Rider incentives</t>
  </si>
  <si>
    <t>Riders</t>
  </si>
  <si>
    <t>Incentive register</t>
  </si>
  <si>
    <t>Finance Cost</t>
  </si>
  <si>
    <t>Bank charges</t>
  </si>
  <si>
    <t>MAP-038</t>
  </si>
  <si>
    <t>Bank Charges</t>
  </si>
  <si>
    <t>1057</t>
  </si>
  <si>
    <t>Payroll liability payment</t>
  </si>
  <si>
    <t>EOBI</t>
  </si>
  <si>
    <t>EOBI challan</t>
  </si>
  <si>
    <t>Rent and utilities</t>
  </si>
  <si>
    <t>1058</t>
  </si>
  <si>
    <t>Payroll statutory</t>
  </si>
  <si>
    <t>MAP-039</t>
  </si>
  <si>
    <t>Social Security</t>
  </si>
  <si>
    <t>Contribution challan</t>
  </si>
  <si>
    <t>Travelling and entertainment</t>
  </si>
  <si>
    <t>Travel and entertainment</t>
  </si>
  <si>
    <t>1059</t>
  </si>
  <si>
    <t>MAP-040</t>
  </si>
  <si>
    <t>Legal and professional</t>
  </si>
  <si>
    <t>HBL Operating Account</t>
  </si>
  <si>
    <t>1060</t>
  </si>
  <si>
    <t>LEGAL &amp; PROFESSIONAL FEE</t>
  </si>
  <si>
    <t>Matched - Do Not Post</t>
  </si>
  <si>
    <t>MAP-041</t>
  </si>
  <si>
    <t>Offline marketing and channel</t>
  </si>
  <si>
    <t>1061</t>
  </si>
  <si>
    <t>Salary payment</t>
  </si>
  <si>
    <t>Employees</t>
  </si>
  <si>
    <t>Payroll batch A</t>
  </si>
  <si>
    <t>Call center</t>
  </si>
  <si>
    <t>MAP-042</t>
  </si>
  <si>
    <t>1062</t>
  </si>
  <si>
    <t>Meezan Bank</t>
  </si>
  <si>
    <t>Auditors' remuneration</t>
  </si>
  <si>
    <t>Auditors remuneration</t>
  </si>
  <si>
    <t>1063</t>
  </si>
  <si>
    <t>MAP-043</t>
  </si>
  <si>
    <t>FBR / Meezan</t>
  </si>
  <si>
    <t>Depreciation</t>
  </si>
  <si>
    <t>1064</t>
  </si>
  <si>
    <t>MAP-044</t>
  </si>
  <si>
    <t>Income</t>
  </si>
  <si>
    <t>Other Income</t>
  </si>
  <si>
    <t>Income from non - financial assets</t>
  </si>
  <si>
    <t>Miscellaneous</t>
  </si>
  <si>
    <t>Employee advance</t>
  </si>
  <si>
    <t>M. Usman</t>
  </si>
  <si>
    <t>Advance request</t>
  </si>
  <si>
    <t>1065</t>
  </si>
  <si>
    <t>Income from financial assets</t>
  </si>
  <si>
    <t>Interest on savings accounts</t>
  </si>
  <si>
    <t>Profit on PLS</t>
  </si>
  <si>
    <t>1066</t>
  </si>
  <si>
    <t>MAP-045</t>
  </si>
  <si>
    <t>Contract driver cost</t>
  </si>
  <si>
    <t>Contract Drivers</t>
  </si>
  <si>
    <t>Settlement W27</t>
  </si>
  <si>
    <t>MAP-046</t>
  </si>
  <si>
    <t>Amortization</t>
  </si>
  <si>
    <t>Payment reversal</t>
  </si>
  <si>
    <t>Failed payment report</t>
  </si>
  <si>
    <t>1067</t>
  </si>
  <si>
    <t>MAP-047</t>
  </si>
  <si>
    <t>Settlement W27 retry</t>
  </si>
  <si>
    <t>Other expenses</t>
  </si>
  <si>
    <t>Other Expenses</t>
  </si>
  <si>
    <t>1068</t>
  </si>
  <si>
    <t>MAP-048</t>
  </si>
  <si>
    <t>Staff travel advance</t>
  </si>
  <si>
    <t>Lahore Operations</t>
  </si>
  <si>
    <t>MAP-049</t>
  </si>
  <si>
    <t>Employee advance return</t>
  </si>
  <si>
    <t>Employee</t>
  </si>
  <si>
    <t>1069</t>
  </si>
  <si>
    <t>MAP-050</t>
  </si>
  <si>
    <t>Settlement W28</t>
  </si>
  <si>
    <t>Loss on disposal</t>
  </si>
  <si>
    <t>new code 2</t>
  </si>
  <si>
    <t>MAP-051</t>
  </si>
  <si>
    <t>A Rec written off</t>
  </si>
  <si>
    <t>New code 1</t>
  </si>
  <si>
    <t>MAP-052</t>
  </si>
  <si>
    <t>Payroll batch B</t>
  </si>
  <si>
    <t>Final tax levy</t>
  </si>
  <si>
    <t>MAP-053</t>
  </si>
  <si>
    <t>New code 3</t>
  </si>
  <si>
    <t>Medical reimbursement</t>
  </si>
  <si>
    <t>MAP-054</t>
  </si>
  <si>
    <t>Settlement W29</t>
  </si>
  <si>
    <t>MAP-055</t>
  </si>
  <si>
    <t>Employee advance recovery</t>
  </si>
  <si>
    <t>Payroll recovery report</t>
  </si>
  <si>
    <t>MAP-056</t>
  </si>
  <si>
    <t>Final settlement</t>
  </si>
  <si>
    <t>Former Employee</t>
  </si>
  <si>
    <t>Final settlement sheet</t>
  </si>
  <si>
    <t>MAP-057</t>
  </si>
  <si>
    <t>Settlement W30</t>
  </si>
  <si>
    <t>MAP-058</t>
  </si>
  <si>
    <t>MAP-059</t>
  </si>
  <si>
    <t>Trial Balance — 31 July 2025</t>
  </si>
  <si>
    <t>Opening Debit</t>
  </si>
  <si>
    <t>Opening Credit</t>
  </si>
  <si>
    <t>Period Debit</t>
  </si>
  <si>
    <t>Period Credit</t>
  </si>
  <si>
    <t>Closing Debit</t>
  </si>
  <si>
    <t>Closing Credit</t>
  </si>
  <si>
    <t>Balance Sheet — 31 July 2025</t>
  </si>
  <si>
    <t>Account</t>
  </si>
  <si>
    <t>Classification</t>
  </si>
  <si>
    <t>Amount (PKR)</t>
  </si>
  <si>
    <t>Total Assets</t>
  </si>
  <si>
    <t>Total Liabilities</t>
  </si>
  <si>
    <t>Equity before current-period profit</t>
  </si>
  <si>
    <t>Current-period profit</t>
  </si>
  <si>
    <t>Total Liabilities and Equity</t>
  </si>
  <si>
    <t>Balance Sheet Check</t>
  </si>
  <si>
    <t>Profit and Loss Statement — July 2025</t>
  </si>
  <si>
    <t>Total Revenue and Other Income</t>
  </si>
  <si>
    <t>Total Expenses</t>
  </si>
  <si>
    <t>Net Profit / (Loss)</t>
  </si>
  <si>
    <t>Cash Flow Statement — July 2025 (Direct Method)</t>
  </si>
  <si>
    <t>Section</t>
  </si>
  <si>
    <t>Calculation</t>
  </si>
  <si>
    <t>Operating</t>
  </si>
  <si>
    <t>Bank credits classified as operating receipts</t>
  </si>
  <si>
    <t>Bank debits classified as operating payments</t>
  </si>
  <si>
    <t>Investing</t>
  </si>
  <si>
    <t>Investing - Receipts</t>
  </si>
  <si>
    <t>Investing receipts</t>
  </si>
  <si>
    <t>Investing payments</t>
  </si>
  <si>
    <t>Financing</t>
  </si>
  <si>
    <t>Financing - Receipts</t>
  </si>
  <si>
    <t>Financing receipts</t>
  </si>
  <si>
    <t>Financing - Payments</t>
  </si>
  <si>
    <t>Financing payments</t>
  </si>
  <si>
    <t>Internal transfers (net zero)</t>
  </si>
  <si>
    <t>Net change in cash</t>
  </si>
  <si>
    <t>Opening cash</t>
  </si>
  <si>
    <t>Ending cash</t>
  </si>
  <si>
    <t>Balance Sheet cash</t>
  </si>
  <si>
    <t>Cash Flow Check</t>
  </si>
  <si>
    <t>Accounting Reconciliation Checks</t>
  </si>
  <si>
    <t>Check</t>
  </si>
  <si>
    <t>Actual</t>
  </si>
  <si>
    <t>Expected</t>
  </si>
  <si>
    <t>Difference</t>
  </si>
  <si>
    <t>Tolerance</t>
  </si>
  <si>
    <t>Status</t>
  </si>
  <si>
    <t>Where to fix</t>
  </si>
  <si>
    <t>Journal debits = credits</t>
  </si>
  <si>
    <t>Trial Balance closing debits = credits</t>
  </si>
  <si>
    <t>Trial Balance / Journal Entries</t>
  </si>
  <si>
    <t>HBL bank ledger = statement closing</t>
  </si>
  <si>
    <t>Mapping / HBL statement</t>
  </si>
  <si>
    <t>Meezan bank ledger = statement closing</t>
  </si>
  <si>
    <t>Mapping / Meezan statement</t>
  </si>
  <si>
    <t>Assets = liabilities + equity</t>
  </si>
  <si>
    <t>Balance Sheet / mappings</t>
  </si>
  <si>
    <t>Cash Flow ending cash = Balance Sheet cash</t>
  </si>
  <si>
    <t>Cash Flow classification</t>
  </si>
  <si>
    <t>Chart of Accounts / Mapping</t>
  </si>
  <si>
    <t>All mappings approved or transfer-matched</t>
  </si>
  <si>
    <t>Matched transfer pairs complete</t>
  </si>
  <si>
    <t>Transaction Mapping transfer IDs</t>
  </si>
  <si>
    <t>MODEL STATUS</t>
  </si>
  <si>
    <t>JE-058</t>
  </si>
  <si>
    <t>Opening Balance</t>
  </si>
  <si>
    <t>OPEN-2025</t>
  </si>
  <si>
    <t>Opening balance - HBL</t>
  </si>
  <si>
    <t>Posted</t>
  </si>
  <si>
    <t>Opening balance - Meezan</t>
  </si>
  <si>
    <t>Opening trade receivables</t>
  </si>
  <si>
    <t>Opening accrued payroll</t>
  </si>
  <si>
    <t>Opening retained earnings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</si>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</sst>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[Red](#,##0);-"/>
    <numFmt numFmtId="165" formatCode="dd-mmm-yyyy"/>
    <numFmt numFmtId="166" formatCode="#,##0.00;[Red](#,##0.00);-"/>
  </numFmts>
  <fonts count="21">
    <font>
      <sz val="11.0"/>
      <color rgb="FF000000"/>
      <name val="Carlito"/>
      <scheme val="minor"/>
    </font>
    <font>
      <b/>
      <sz val="16.0"/>
      <color rgb="FFFFFFFF"/>
      <name val="Aptos"/>
    </font>
    <font>
      <sz val="11.0"/>
      <color theme="1"/>
      <name val="Aptos"/>
    </font>
    <font>
      <b/>
      <sz val="11.0"/>
      <color rgb="FF404040"/>
      <name val="Aptos"/>
    </font>
    <font>
      <b/>
      <sz val="11.0"/>
      <color theme="1"/>
      <name val="Aptos"/>
    </font>
    <font>
      <sz val="10.0"/>
      <color rgb="FF008000"/>
      <name val="Aptos"/>
    </font>
    <font>
      <b/>
      <sz val="11.0"/>
      <color rgb="FFFFFFFF"/>
      <name val="Aptos"/>
    </font>
    <font>
      <sz val="11.0"/>
      <color rgb="FFFFFFFF"/>
      <name val="Aptos"/>
    </font>
    <font>
      <b/>
      <sz val="14.0"/>
      <color rgb="FFFFFFFF"/>
      <name val="Aptos"/>
    </font>
    <font>
      <b/>
      <sz val="12.0"/>
      <color rgb="FFFFFFFF"/>
      <name val="Carlito"/>
    </font>
    <font>
      <b/>
      <sz val="13.0"/>
      <color rgb="FFFFFFFF"/>
      <name val="Aptos"/>
    </font>
    <font>
      <b/>
      <sz val="12.0"/>
      <color rgb="FFFFFFFF"/>
      <name val="Aptos"/>
    </font>
    <font>
      <b/>
      <sz val="11.0"/>
      <color rgb="FFFFFFFF"/>
      <name val="Carlito"/>
    </font>
    <font>
      <b/>
      <sz val="10.0"/>
      <color rgb="FFFFFFFF"/>
      <name val="Aptos"/>
    </font>
    <font>
      <b/>
      <sz val="10.0"/>
      <color rgb="FFFFFFFF"/>
      <name val="Carlito"/>
    </font>
    <font>
      <sz val="10.0"/>
      <color rgb="FF000000"/>
      <name val="Aptos"/>
    </font>
    <font>
      <sz val="10.0"/>
      <color rgb="FF000000"/>
      <name val="Carlito"/>
    </font>
    <font>
      <sz val="10.0"/>
      <color rgb="FF0000FF"/>
      <name val="Aptos"/>
    </font>
    <font/>
    <font>
      <b/>
      <sz val="10.0"/>
      <color rgb="FF008000"/>
      <name val="Aptos"/>
    </font>
    <font>
      <b/>
      <sz val="13.0"/>
      <color rgb="FF17365D"/>
      <name val="Aptos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9">
    <border/>
    <border>
      <right style="thin">
        <color rgb="FFD9E2F3"/>
      </right>
    </border>
    <border>
      <left style="thin">
        <color rgb="FFD9E2F3"/>
      </left>
      <right style="thin">
        <color rgb="FFD9E2F3"/>
      </right>
    </border>
    <border>
      <left style="thin">
        <color rgb="FFD9E2F3"/>
      </left>
    </border>
    <border>
      <top style="thin">
        <color rgb="FF17365D"/>
      </top>
    </border>
    <border>
      <top style="double">
        <color rgb="FF17365D"/>
      </top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164" xfId="0" applyFont="1" applyNumberFormat="1"/>
    <xf borderId="0" fillId="0" fontId="5" numFmtId="0" xfId="0" applyFont="1"/>
    <xf borderId="1" fillId="3" fontId="6" numFmtId="0" xfId="0" applyAlignment="1" applyBorder="1" applyFill="1" applyFont="1">
      <alignment shrinkToFit="0" wrapText="1"/>
    </xf>
    <xf borderId="2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2" fontId="8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2" fontId="10" numFmtId="0" xfId="0" applyAlignment="1" applyFont="1">
      <alignment vertical="center"/>
    </xf>
    <xf borderId="0" fillId="2" fontId="11" numFmtId="0" xfId="0" applyAlignment="1" applyFont="1">
      <alignment vertical="center"/>
    </xf>
    <xf borderId="1" fillId="2" fontId="6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horizontal="left" shrinkToFit="0" vertical="center" wrapText="1"/>
    </xf>
    <xf borderId="3" fillId="2" fontId="11" numFmtId="0" xfId="0" applyAlignment="1" applyBorder="1" applyFont="1">
      <alignment horizontal="left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12" numFmtId="0" xfId="0" applyAlignment="1" applyFont="1">
      <alignment horizontal="center" shrinkToFit="0" vertical="center" wrapText="0"/>
    </xf>
    <xf borderId="0" fillId="3" fontId="13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5" fontId="15" numFmtId="0" xfId="0" applyAlignment="1" applyFill="1" applyFont="1">
      <alignment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5" fontId="16" numFmtId="166" xfId="0" applyAlignment="1" applyFont="1" applyNumberFormat="1">
      <alignment shrinkToFit="0" vertical="center" wrapText="1"/>
    </xf>
    <xf borderId="0" fillId="5" fontId="16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166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165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0"/>
    </xf>
    <xf borderId="0" fillId="0" fontId="17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7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16" numFmtId="0" xfId="0" applyAlignment="1" applyFon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1"/>
    </xf>
    <xf borderId="0" fillId="0" fontId="5" numFmtId="164" xfId="0" applyFont="1" applyNumberFormat="1"/>
    <xf borderId="4" fillId="0" fontId="4" numFmtId="0" xfId="0" applyBorder="1" applyFont="1"/>
    <xf borderId="4" fillId="0" fontId="18" numFmtId="0" xfId="0" applyBorder="1" applyFont="1"/>
    <xf borderId="4" fillId="0" fontId="4" numFmtId="164" xfId="0" applyBorder="1" applyFont="1" applyNumberFormat="1"/>
    <xf borderId="0" fillId="0" fontId="4" numFmtId="164" xfId="0" applyFont="1" applyNumberFormat="1"/>
    <xf borderId="0" fillId="0" fontId="19" numFmtId="164" xfId="0" applyFont="1" applyNumberFormat="1"/>
    <xf borderId="5" fillId="0" fontId="4" numFmtId="0" xfId="0" applyBorder="1" applyFont="1"/>
    <xf borderId="5" fillId="0" fontId="18" numFmtId="0" xfId="0" applyBorder="1" applyFont="1"/>
    <xf borderId="5" fillId="0" fontId="4" numFmtId="164" xfId="0" applyBorder="1" applyFont="1" applyNumberFormat="1"/>
    <xf borderId="4" fillId="0" fontId="19" numFmtId="164" xfId="0" applyBorder="1" applyFont="1" applyNumberFormat="1"/>
    <xf borderId="5" fillId="0" fontId="19" numFmtId="164" xfId="0" applyBorder="1" applyFont="1" applyNumberFormat="1"/>
    <xf borderId="6" fillId="5" fontId="20" numFmtId="0" xfId="0" applyBorder="1" applyFont="1"/>
    <xf borderId="7" fillId="0" fontId="18" numFmtId="0" xfId="0" applyBorder="1" applyFont="1"/>
    <xf borderId="7" fillId="5" fontId="20" numFmtId="0" xfId="0" applyBorder="1" applyFont="1"/>
    <xf borderId="8" fillId="0" fontId="18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6100"/>
      </font>
      <fill>
        <patternFill patternType="solid">
          <fgColor rgb="FFE2F0D9"/>
          <bgColor rgb="FFE2F0D9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Chart of Accou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S67" displayName="ChartOfAccountsTable" name="ChartOfAccountsTable" id="1">
  <tableColumns count="19">
    <tableColumn name="Nature" id="1"/>
    <tableColumn name="Classification 1" id="2"/>
    <tableColumn name="Classification 2" id="3"/>
    <tableColumn name="Classification 3" id="4"/>
    <tableColumn name="Classification 4" id="5"/>
    <tableColumn name="Classification 5" id="6"/>
    <tableColumn name="Classification 7" id="7"/>
    <tableColumn name="Code" id="8"/>
    <tableColumn name="Title" id="9"/>
    <tableColumn name="Debit" id="10"/>
    <tableColumn name="Credit" id="11"/>
    <tableColumn name="Debit2" id="12"/>
    <tableColumn name="Credit3" id="13"/>
    <tableColumn name="Debit4" id="14"/>
    <tableColumn name="Credit5" id="15"/>
    <tableColumn name="Debit6" id="16"/>
    <tableColumn name="Credit7" id="17"/>
    <tableColumn name="Column 1" id="18"/>
    <tableColumn name="Column 2" id="19"/>
  </tableColumns>
  <tableStyleInfo name="Chart of Ac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0"/>
    <col customWidth="1" min="2" max="2" width="42.0"/>
    <col customWidth="1" min="3" max="6" width="31.0"/>
  </cols>
  <sheetData>
    <row r="1" ht="30.0" customHeight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2" t="s">
        <v>2</v>
      </c>
      <c r="C3" s="2"/>
      <c r="D3" s="2"/>
      <c r="E3" s="2"/>
      <c r="F3" s="2"/>
    </row>
    <row r="4">
      <c r="A4" s="3" t="s">
        <v>4</v>
      </c>
      <c r="B4" s="2" t="s">
        <v>5</v>
      </c>
      <c r="C4" s="2"/>
      <c r="D4" s="2"/>
      <c r="E4" s="2"/>
      <c r="F4" s="2"/>
    </row>
    <row r="5">
      <c r="A5" s="3" t="s">
        <v>7</v>
      </c>
      <c r="B5" s="2" t="s">
        <v>8</v>
      </c>
      <c r="C5" s="2"/>
      <c r="D5" s="2"/>
      <c r="E5" s="2"/>
      <c r="F5" s="2"/>
    </row>
    <row r="6">
      <c r="A6" s="3" t="s">
        <v>10</v>
      </c>
      <c r="B6" s="2" t="s">
        <v>11</v>
      </c>
      <c r="C6" s="2"/>
      <c r="D6" s="2"/>
      <c r="E6" s="2"/>
      <c r="F6" s="2"/>
    </row>
    <row r="7">
      <c r="A7" s="3" t="s">
        <v>12</v>
      </c>
      <c r="B7" s="6" t="str">
        <f>Checks!G3</f>
        <v>Where to fix</v>
      </c>
      <c r="C7" s="2"/>
      <c r="D7" s="2"/>
      <c r="E7" s="2"/>
      <c r="F7" s="2"/>
    </row>
    <row r="8">
      <c r="A8" s="3" t="s">
        <v>18</v>
      </c>
      <c r="B8" s="2" t="s">
        <v>19</v>
      </c>
      <c r="C8" s="2"/>
      <c r="D8" s="2"/>
      <c r="E8" s="2"/>
      <c r="F8" s="2"/>
    </row>
    <row r="9">
      <c r="A9" s="3" t="s">
        <v>20</v>
      </c>
      <c r="B9" s="2" t="s">
        <v>21</v>
      </c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7" t="s">
        <v>22</v>
      </c>
      <c r="B11" s="8" t="s">
        <v>25</v>
      </c>
      <c r="C11" s="8" t="s">
        <v>26</v>
      </c>
      <c r="D11" s="8" t="s">
        <v>27</v>
      </c>
      <c r="E11" s="8" t="s">
        <v>28</v>
      </c>
      <c r="F11" s="9" t="s">
        <v>29</v>
      </c>
    </row>
    <row r="12" ht="36.0" customHeight="1">
      <c r="A12" s="10">
        <v>1.0</v>
      </c>
      <c r="B12" s="10" t="s">
        <v>31</v>
      </c>
      <c r="C12" s="10" t="s">
        <v>32</v>
      </c>
      <c r="D12" s="10" t="s">
        <v>33</v>
      </c>
      <c r="E12" s="10" t="s">
        <v>34</v>
      </c>
      <c r="F12" s="10" t="s">
        <v>35</v>
      </c>
    </row>
    <row r="13" ht="36.0" customHeight="1">
      <c r="A13" s="10">
        <v>2.0</v>
      </c>
      <c r="B13" s="10" t="s">
        <v>37</v>
      </c>
      <c r="C13" s="10" t="s">
        <v>38</v>
      </c>
      <c r="D13" s="10" t="s">
        <v>39</v>
      </c>
      <c r="E13" s="10" t="s">
        <v>42</v>
      </c>
      <c r="F13" s="10" t="s">
        <v>44</v>
      </c>
    </row>
    <row r="14" ht="36.0" customHeight="1">
      <c r="A14" s="10">
        <v>3.0</v>
      </c>
      <c r="B14" s="10" t="s">
        <v>38</v>
      </c>
      <c r="C14" s="10" t="s">
        <v>49</v>
      </c>
      <c r="D14" s="10" t="s">
        <v>50</v>
      </c>
      <c r="E14" s="10" t="s">
        <v>52</v>
      </c>
      <c r="F14" s="10" t="s">
        <v>53</v>
      </c>
    </row>
    <row r="15" ht="36.0" customHeight="1">
      <c r="A15" s="10">
        <v>4.0</v>
      </c>
      <c r="B15" s="10" t="s">
        <v>55</v>
      </c>
      <c r="C15" s="10" t="s">
        <v>56</v>
      </c>
      <c r="D15" s="10" t="s">
        <v>57</v>
      </c>
      <c r="E15" s="10" t="s">
        <v>58</v>
      </c>
      <c r="F15" s="10" t="s">
        <v>59</v>
      </c>
    </row>
    <row r="16" ht="36.0" customHeight="1">
      <c r="A16" s="10">
        <v>5.0</v>
      </c>
      <c r="B16" s="10" t="s">
        <v>56</v>
      </c>
      <c r="C16" s="10" t="s">
        <v>60</v>
      </c>
      <c r="D16" s="10" t="s">
        <v>61</v>
      </c>
      <c r="E16" s="10" t="s">
        <v>62</v>
      </c>
      <c r="F16" s="10" t="s">
        <v>63</v>
      </c>
    </row>
    <row r="17" ht="36.0" customHeight="1">
      <c r="A17" s="10">
        <v>6.0</v>
      </c>
      <c r="B17" s="10" t="s">
        <v>60</v>
      </c>
      <c r="C17" s="10" t="s">
        <v>64</v>
      </c>
      <c r="D17" s="10" t="s">
        <v>65</v>
      </c>
      <c r="E17" s="10" t="s">
        <v>68</v>
      </c>
      <c r="F17" s="10" t="s">
        <v>69</v>
      </c>
    </row>
    <row r="18" ht="36.0" customHeight="1">
      <c r="A18" s="10">
        <v>7.0</v>
      </c>
      <c r="B18" s="10" t="s">
        <v>64</v>
      </c>
      <c r="C18" s="10" t="s">
        <v>71</v>
      </c>
      <c r="D18" s="10" t="s">
        <v>72</v>
      </c>
      <c r="E18" s="10" t="s">
        <v>68</v>
      </c>
      <c r="F18" s="10" t="s">
        <v>73</v>
      </c>
    </row>
    <row r="19" ht="36.0" customHeight="1">
      <c r="A19" s="10">
        <v>8.0</v>
      </c>
      <c r="B19" s="10" t="s">
        <v>78</v>
      </c>
      <c r="C19" s="10" t="s">
        <v>79</v>
      </c>
      <c r="D19" s="10" t="s">
        <v>80</v>
      </c>
      <c r="E19" s="10" t="s">
        <v>68</v>
      </c>
      <c r="F19" s="10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24.0"/>
    <col customWidth="1" min="8" max="8" width="13.0"/>
    <col customWidth="1" min="9" max="9" width="34.0"/>
    <col customWidth="1" min="10" max="19" width="8.63"/>
  </cols>
  <sheetData>
    <row r="1" ht="16.5" customHeight="1">
      <c r="A1" s="13" t="s">
        <v>48</v>
      </c>
      <c r="J1" s="15"/>
      <c r="K1" s="15"/>
      <c r="L1" s="15"/>
      <c r="M1" s="15"/>
      <c r="N1" s="15"/>
      <c r="O1" s="15"/>
      <c r="P1" s="15"/>
      <c r="Q1" s="15"/>
      <c r="R1" s="15"/>
      <c r="S1" s="15"/>
    </row>
    <row r="2" ht="15.0" customHeight="1">
      <c r="A2" s="17" t="s">
        <v>31</v>
      </c>
      <c r="B2" s="18"/>
      <c r="C2" s="18"/>
      <c r="D2" s="18"/>
      <c r="E2" s="18"/>
      <c r="F2" s="18"/>
      <c r="G2" s="18"/>
      <c r="H2" s="18"/>
      <c r="I2" s="18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5.0" customHeight="1">
      <c r="A3" s="19" t="s">
        <v>70</v>
      </c>
      <c r="B3" s="20"/>
      <c r="C3" s="20"/>
      <c r="D3" s="20"/>
      <c r="E3" s="20"/>
      <c r="F3" s="20"/>
      <c r="G3" s="20"/>
      <c r="H3" s="20"/>
      <c r="I3" s="21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ht="15.0" customHeight="1">
      <c r="A4" s="22"/>
      <c r="B4" s="22"/>
      <c r="C4" s="22"/>
      <c r="D4" s="22"/>
      <c r="E4" s="22"/>
      <c r="F4" s="22"/>
      <c r="G4" s="22"/>
      <c r="H4" s="22"/>
      <c r="I4" s="22"/>
      <c r="J4" s="23" t="s">
        <v>87</v>
      </c>
      <c r="K4" s="23"/>
      <c r="L4" s="23" t="s">
        <v>91</v>
      </c>
      <c r="M4" s="23"/>
      <c r="N4" s="23" t="s">
        <v>92</v>
      </c>
      <c r="O4" s="23"/>
      <c r="P4" s="23" t="s">
        <v>95</v>
      </c>
      <c r="Q4" s="23"/>
      <c r="R4" s="23"/>
      <c r="S4" s="23"/>
    </row>
    <row r="5" ht="15.0" customHeight="1">
      <c r="A5" s="24" t="s">
        <v>96</v>
      </c>
      <c r="B5" s="24" t="s">
        <v>105</v>
      </c>
      <c r="C5" s="24" t="s">
        <v>108</v>
      </c>
      <c r="D5" s="24" t="s">
        <v>109</v>
      </c>
      <c r="E5" s="24" t="s">
        <v>110</v>
      </c>
      <c r="F5" s="24" t="s">
        <v>113</v>
      </c>
      <c r="G5" s="24" t="s">
        <v>116</v>
      </c>
      <c r="H5" s="24" t="s">
        <v>117</v>
      </c>
      <c r="I5" s="24" t="s">
        <v>119</v>
      </c>
      <c r="J5" s="25" t="s">
        <v>121</v>
      </c>
      <c r="K5" s="25" t="s">
        <v>125</v>
      </c>
      <c r="L5" s="25" t="s">
        <v>127</v>
      </c>
      <c r="M5" s="25" t="s">
        <v>128</v>
      </c>
      <c r="N5" s="25" t="s">
        <v>132</v>
      </c>
      <c r="O5" s="25" t="s">
        <v>134</v>
      </c>
      <c r="P5" s="25" t="s">
        <v>135</v>
      </c>
      <c r="Q5" s="25" t="s">
        <v>138</v>
      </c>
      <c r="R5" s="25" t="s">
        <v>139</v>
      </c>
      <c r="S5" s="25" t="s">
        <v>143</v>
      </c>
    </row>
    <row r="6" ht="15.0" customHeight="1">
      <c r="A6" s="26" t="s">
        <v>145</v>
      </c>
      <c r="B6" s="26" t="s">
        <v>149</v>
      </c>
      <c r="C6" s="26" t="s">
        <v>151</v>
      </c>
      <c r="D6" s="26" t="s">
        <v>154</v>
      </c>
      <c r="E6" s="26" t="s">
        <v>155</v>
      </c>
      <c r="F6" s="26" t="s">
        <v>155</v>
      </c>
      <c r="G6" s="26" t="s">
        <v>158</v>
      </c>
      <c r="H6" s="27" t="s">
        <v>159</v>
      </c>
      <c r="I6" s="26" t="s">
        <v>158</v>
      </c>
      <c r="J6" s="28"/>
      <c r="K6" s="28"/>
      <c r="L6" s="28"/>
      <c r="M6" s="28"/>
      <c r="N6" s="28"/>
      <c r="O6" s="28"/>
      <c r="P6" s="28" t="s">
        <v>174</v>
      </c>
      <c r="Q6" s="28" t="s">
        <v>174</v>
      </c>
      <c r="R6" s="29"/>
      <c r="S6" s="29" t="s">
        <v>177</v>
      </c>
    </row>
    <row r="7" ht="36.0" customHeight="1">
      <c r="A7" s="30" t="s">
        <v>145</v>
      </c>
      <c r="B7" s="30" t="s">
        <v>149</v>
      </c>
      <c r="C7" s="30" t="s">
        <v>151</v>
      </c>
      <c r="D7" s="30" t="s">
        <v>154</v>
      </c>
      <c r="E7" s="30" t="s">
        <v>155</v>
      </c>
      <c r="F7" s="30" t="s">
        <v>155</v>
      </c>
      <c r="G7" s="30" t="s">
        <v>187</v>
      </c>
      <c r="H7" s="31" t="s">
        <v>188</v>
      </c>
      <c r="I7" s="30" t="s">
        <v>187</v>
      </c>
      <c r="J7" s="32"/>
      <c r="K7" s="32"/>
      <c r="L7" s="32"/>
      <c r="M7" s="32"/>
      <c r="N7" s="32"/>
      <c r="O7" s="32"/>
      <c r="P7" s="32" t="s">
        <v>174</v>
      </c>
      <c r="Q7" s="32" t="s">
        <v>174</v>
      </c>
      <c r="R7" s="33"/>
      <c r="S7" s="33" t="s">
        <v>206</v>
      </c>
    </row>
    <row r="8" ht="36.0" customHeight="1">
      <c r="A8" s="26" t="s">
        <v>145</v>
      </c>
      <c r="B8" s="26" t="s">
        <v>149</v>
      </c>
      <c r="C8" s="26" t="s">
        <v>151</v>
      </c>
      <c r="D8" s="26" t="s">
        <v>154</v>
      </c>
      <c r="E8" s="26" t="s">
        <v>155</v>
      </c>
      <c r="F8" s="26" t="s">
        <v>155</v>
      </c>
      <c r="G8" s="26" t="s">
        <v>213</v>
      </c>
      <c r="H8" s="27" t="s">
        <v>216</v>
      </c>
      <c r="I8" s="26" t="s">
        <v>213</v>
      </c>
      <c r="J8" s="28"/>
      <c r="K8" s="28"/>
      <c r="L8" s="28"/>
      <c r="M8" s="28"/>
      <c r="N8" s="28"/>
      <c r="O8" s="28"/>
      <c r="P8" s="28" t="s">
        <v>174</v>
      </c>
      <c r="Q8" s="28" t="s">
        <v>174</v>
      </c>
      <c r="R8" s="29"/>
      <c r="S8" s="29" t="s">
        <v>206</v>
      </c>
    </row>
    <row r="9" ht="36.0" customHeight="1">
      <c r="A9" s="30" t="s">
        <v>145</v>
      </c>
      <c r="B9" s="30" t="s">
        <v>149</v>
      </c>
      <c r="C9" s="30" t="s">
        <v>151</v>
      </c>
      <c r="D9" s="30" t="s">
        <v>154</v>
      </c>
      <c r="E9" s="30" t="s">
        <v>155</v>
      </c>
      <c r="F9" s="30" t="s">
        <v>155</v>
      </c>
      <c r="G9" s="30" t="s">
        <v>224</v>
      </c>
      <c r="H9" s="31" t="s">
        <v>225</v>
      </c>
      <c r="I9" s="30" t="s">
        <v>224</v>
      </c>
      <c r="J9" s="32"/>
      <c r="K9" s="32"/>
      <c r="L9" s="32"/>
      <c r="M9" s="32"/>
      <c r="N9" s="32"/>
      <c r="O9" s="32"/>
      <c r="P9" s="32" t="s">
        <v>174</v>
      </c>
      <c r="Q9" s="32" t="s">
        <v>174</v>
      </c>
      <c r="R9" s="33"/>
      <c r="S9" s="33" t="s">
        <v>206</v>
      </c>
    </row>
    <row r="10" ht="36.0" customHeight="1">
      <c r="A10" s="26" t="s">
        <v>145</v>
      </c>
      <c r="B10" s="26" t="s">
        <v>149</v>
      </c>
      <c r="C10" s="26" t="s">
        <v>151</v>
      </c>
      <c r="D10" s="26" t="s">
        <v>154</v>
      </c>
      <c r="E10" s="26" t="s">
        <v>155</v>
      </c>
      <c r="F10" s="26" t="s">
        <v>155</v>
      </c>
      <c r="G10" s="26" t="s">
        <v>227</v>
      </c>
      <c r="H10" s="27" t="s">
        <v>228</v>
      </c>
      <c r="I10" s="26" t="s">
        <v>227</v>
      </c>
      <c r="J10" s="28"/>
      <c r="K10" s="28"/>
      <c r="L10" s="28"/>
      <c r="M10" s="28"/>
      <c r="N10" s="28"/>
      <c r="O10" s="28"/>
      <c r="P10" s="28" t="s">
        <v>174</v>
      </c>
      <c r="Q10" s="28" t="s">
        <v>174</v>
      </c>
      <c r="R10" s="29"/>
      <c r="S10" s="29" t="s">
        <v>206</v>
      </c>
    </row>
    <row r="11" ht="36.0" customHeight="1">
      <c r="A11" s="30" t="s">
        <v>145</v>
      </c>
      <c r="B11" s="30" t="s">
        <v>149</v>
      </c>
      <c r="C11" s="30" t="s">
        <v>151</v>
      </c>
      <c r="D11" s="30" t="s">
        <v>229</v>
      </c>
      <c r="E11" s="30" t="s">
        <v>155</v>
      </c>
      <c r="F11" s="30" t="s">
        <v>155</v>
      </c>
      <c r="G11" s="30" t="s">
        <v>230</v>
      </c>
      <c r="H11" s="31" t="s">
        <v>231</v>
      </c>
      <c r="I11" s="30" t="s">
        <v>230</v>
      </c>
      <c r="J11" s="32"/>
      <c r="K11" s="32"/>
      <c r="L11" s="32"/>
      <c r="M11" s="32"/>
      <c r="N11" s="32"/>
      <c r="O11" s="32"/>
      <c r="P11" s="32" t="s">
        <v>174</v>
      </c>
      <c r="Q11" s="32" t="s">
        <v>174</v>
      </c>
      <c r="R11" s="33"/>
      <c r="S11" s="33" t="s">
        <v>206</v>
      </c>
    </row>
    <row r="12" ht="36.0" customHeight="1">
      <c r="A12" s="26" t="s">
        <v>145</v>
      </c>
      <c r="B12" s="26" t="s">
        <v>149</v>
      </c>
      <c r="C12" s="26" t="s">
        <v>151</v>
      </c>
      <c r="D12" s="26" t="s">
        <v>154</v>
      </c>
      <c r="E12" s="26" t="s">
        <v>242</v>
      </c>
      <c r="F12" s="26" t="s">
        <v>242</v>
      </c>
      <c r="G12" s="26" t="s">
        <v>246</v>
      </c>
      <c r="H12" s="27" t="s">
        <v>248</v>
      </c>
      <c r="I12" s="26" t="s">
        <v>246</v>
      </c>
      <c r="J12" s="28"/>
      <c r="K12" s="28"/>
      <c r="L12" s="28"/>
      <c r="M12" s="28"/>
      <c r="N12" s="28"/>
      <c r="O12" s="28"/>
      <c r="P12" s="28" t="s">
        <v>174</v>
      </c>
      <c r="Q12" s="28" t="s">
        <v>174</v>
      </c>
      <c r="R12" s="29"/>
      <c r="S12" s="29" t="s">
        <v>206</v>
      </c>
    </row>
    <row r="13" ht="36.0" customHeight="1">
      <c r="A13" s="30" t="s">
        <v>145</v>
      </c>
      <c r="B13" s="30" t="s">
        <v>149</v>
      </c>
      <c r="C13" s="30" t="s">
        <v>255</v>
      </c>
      <c r="D13" s="30" t="s">
        <v>257</v>
      </c>
      <c r="E13" s="30" t="s">
        <v>258</v>
      </c>
      <c r="F13" s="30" t="s">
        <v>259</v>
      </c>
      <c r="G13" s="30" t="s">
        <v>261</v>
      </c>
      <c r="H13" s="31" t="s">
        <v>262</v>
      </c>
      <c r="I13" s="30" t="s">
        <v>261</v>
      </c>
      <c r="J13" s="32"/>
      <c r="K13" s="32"/>
      <c r="L13" s="32"/>
      <c r="M13" s="32"/>
      <c r="N13" s="32"/>
      <c r="O13" s="32"/>
      <c r="P13" s="32" t="s">
        <v>174</v>
      </c>
      <c r="Q13" s="32" t="s">
        <v>174</v>
      </c>
      <c r="R13" s="33"/>
      <c r="S13" s="33" t="s">
        <v>206</v>
      </c>
    </row>
    <row r="14" ht="36.0" customHeight="1">
      <c r="A14" s="26" t="s">
        <v>145</v>
      </c>
      <c r="B14" s="26" t="s">
        <v>149</v>
      </c>
      <c r="C14" s="26" t="s">
        <v>255</v>
      </c>
      <c r="D14" s="26" t="s">
        <v>269</v>
      </c>
      <c r="E14" s="26" t="s">
        <v>270</v>
      </c>
      <c r="F14" s="26" t="s">
        <v>272</v>
      </c>
      <c r="G14" s="26" t="s">
        <v>274</v>
      </c>
      <c r="H14" s="27" t="s">
        <v>275</v>
      </c>
      <c r="I14" s="26" t="s">
        <v>274</v>
      </c>
      <c r="J14" s="28"/>
      <c r="K14" s="28"/>
      <c r="L14" s="28"/>
      <c r="M14" s="28"/>
      <c r="N14" s="28"/>
      <c r="O14" s="28"/>
      <c r="P14" s="28" t="s">
        <v>174</v>
      </c>
      <c r="Q14" s="28" t="s">
        <v>174</v>
      </c>
      <c r="R14" s="29"/>
      <c r="S14" s="29" t="s">
        <v>206</v>
      </c>
    </row>
    <row r="15" ht="36.0" customHeight="1">
      <c r="A15" s="30" t="s">
        <v>145</v>
      </c>
      <c r="B15" s="30" t="s">
        <v>149</v>
      </c>
      <c r="C15" s="30" t="s">
        <v>151</v>
      </c>
      <c r="D15" s="30" t="s">
        <v>283</v>
      </c>
      <c r="E15" s="30" t="s">
        <v>270</v>
      </c>
      <c r="F15" s="30" t="s">
        <v>289</v>
      </c>
      <c r="G15" s="30" t="s">
        <v>291</v>
      </c>
      <c r="H15" s="31" t="s">
        <v>293</v>
      </c>
      <c r="I15" s="30" t="s">
        <v>291</v>
      </c>
      <c r="J15" s="32"/>
      <c r="K15" s="32"/>
      <c r="L15" s="32"/>
      <c r="M15" s="32"/>
      <c r="N15" s="32"/>
      <c r="O15" s="32"/>
      <c r="P15" s="32" t="s">
        <v>174</v>
      </c>
      <c r="Q15" s="32" t="s">
        <v>174</v>
      </c>
      <c r="R15" s="33"/>
      <c r="S15" s="33" t="s">
        <v>206</v>
      </c>
    </row>
    <row r="16" ht="15.0" customHeight="1">
      <c r="A16" s="26" t="s">
        <v>145</v>
      </c>
      <c r="B16" s="26" t="s">
        <v>149</v>
      </c>
      <c r="C16" s="26" t="s">
        <v>151</v>
      </c>
      <c r="D16" s="26" t="s">
        <v>283</v>
      </c>
      <c r="E16" s="26" t="s">
        <v>304</v>
      </c>
      <c r="F16" s="26" t="s">
        <v>306</v>
      </c>
      <c r="G16" s="26" t="s">
        <v>308</v>
      </c>
      <c r="H16" s="27" t="s">
        <v>310</v>
      </c>
      <c r="I16" s="26" t="s">
        <v>308</v>
      </c>
      <c r="J16" s="28"/>
      <c r="K16" s="28"/>
      <c r="L16" s="28"/>
      <c r="M16" s="28"/>
      <c r="N16" s="28"/>
      <c r="O16" s="28"/>
      <c r="P16" s="28" t="s">
        <v>174</v>
      </c>
      <c r="Q16" s="28" t="s">
        <v>174</v>
      </c>
      <c r="R16" s="29"/>
      <c r="S16" s="29" t="s">
        <v>313</v>
      </c>
    </row>
    <row r="17" ht="24.0" customHeight="1">
      <c r="A17" s="30" t="s">
        <v>145</v>
      </c>
      <c r="B17" s="30" t="s">
        <v>149</v>
      </c>
      <c r="C17" s="30" t="s">
        <v>255</v>
      </c>
      <c r="D17" s="30" t="s">
        <v>269</v>
      </c>
      <c r="E17" s="30" t="s">
        <v>304</v>
      </c>
      <c r="F17" s="30" t="s">
        <v>320</v>
      </c>
      <c r="G17" s="30" t="s">
        <v>321</v>
      </c>
      <c r="H17" s="31" t="s">
        <v>322</v>
      </c>
      <c r="I17" s="30" t="s">
        <v>321</v>
      </c>
      <c r="J17" s="32"/>
      <c r="K17" s="32"/>
      <c r="L17" s="32"/>
      <c r="M17" s="32"/>
      <c r="N17" s="32"/>
      <c r="O17" s="32"/>
      <c r="P17" s="32" t="s">
        <v>174</v>
      </c>
      <c r="Q17" s="32" t="s">
        <v>174</v>
      </c>
      <c r="R17" s="33"/>
      <c r="S17" s="33" t="s">
        <v>324</v>
      </c>
    </row>
    <row r="18" ht="24.0" customHeight="1">
      <c r="A18" s="26" t="s">
        <v>145</v>
      </c>
      <c r="B18" s="26" t="s">
        <v>149</v>
      </c>
      <c r="C18" s="26" t="s">
        <v>255</v>
      </c>
      <c r="D18" s="26" t="s">
        <v>269</v>
      </c>
      <c r="E18" s="26" t="s">
        <v>304</v>
      </c>
      <c r="F18" s="26" t="s">
        <v>272</v>
      </c>
      <c r="G18" s="26" t="s">
        <v>328</v>
      </c>
      <c r="H18" s="27" t="s">
        <v>329</v>
      </c>
      <c r="I18" s="26" t="s">
        <v>328</v>
      </c>
      <c r="J18" s="28"/>
      <c r="K18" s="28"/>
      <c r="L18" s="28"/>
      <c r="M18" s="28"/>
      <c r="N18" s="28"/>
      <c r="O18" s="28"/>
      <c r="P18" s="28" t="s">
        <v>174</v>
      </c>
      <c r="Q18" s="28" t="s">
        <v>174</v>
      </c>
      <c r="R18" s="29"/>
      <c r="S18" s="29" t="s">
        <v>333</v>
      </c>
    </row>
    <row r="19" ht="24.0" customHeight="1">
      <c r="A19" s="30" t="s">
        <v>145</v>
      </c>
      <c r="B19" s="30" t="s">
        <v>149</v>
      </c>
      <c r="C19" s="30" t="s">
        <v>151</v>
      </c>
      <c r="D19" s="30" t="s">
        <v>283</v>
      </c>
      <c r="E19" s="30" t="s">
        <v>304</v>
      </c>
      <c r="F19" s="30" t="s">
        <v>336</v>
      </c>
      <c r="G19" s="30" t="s">
        <v>337</v>
      </c>
      <c r="H19" s="31" t="s">
        <v>338</v>
      </c>
      <c r="I19" s="30" t="s">
        <v>337</v>
      </c>
      <c r="J19" s="32"/>
      <c r="K19" s="32"/>
      <c r="L19" s="32"/>
      <c r="M19" s="32"/>
      <c r="N19" s="32"/>
      <c r="O19" s="32"/>
      <c r="P19" s="32" t="s">
        <v>174</v>
      </c>
      <c r="Q19" s="32" t="s">
        <v>174</v>
      </c>
      <c r="R19" s="33"/>
      <c r="S19" s="33" t="s">
        <v>345</v>
      </c>
    </row>
    <row r="20" ht="24.0" customHeight="1">
      <c r="A20" s="26" t="s">
        <v>145</v>
      </c>
      <c r="B20" s="26" t="s">
        <v>149</v>
      </c>
      <c r="C20" s="26" t="s">
        <v>255</v>
      </c>
      <c r="D20" s="26" t="s">
        <v>269</v>
      </c>
      <c r="E20" s="26" t="s">
        <v>270</v>
      </c>
      <c r="F20" s="26" t="s">
        <v>352</v>
      </c>
      <c r="G20" s="26" t="s">
        <v>352</v>
      </c>
      <c r="H20" s="27" t="s">
        <v>353</v>
      </c>
      <c r="I20" s="26" t="s">
        <v>352</v>
      </c>
      <c r="J20" s="28"/>
      <c r="K20" s="28"/>
      <c r="L20" s="28"/>
      <c r="M20" s="28"/>
      <c r="N20" s="28"/>
      <c r="O20" s="28"/>
      <c r="P20" s="28" t="s">
        <v>174</v>
      </c>
      <c r="Q20" s="28" t="s">
        <v>174</v>
      </c>
      <c r="R20" s="29"/>
      <c r="S20" s="29" t="s">
        <v>345</v>
      </c>
    </row>
    <row r="21" ht="24.0" customHeight="1">
      <c r="A21" s="30" t="s">
        <v>145</v>
      </c>
      <c r="B21" s="30" t="s">
        <v>149</v>
      </c>
      <c r="C21" s="30" t="s">
        <v>255</v>
      </c>
      <c r="D21" s="30" t="s">
        <v>269</v>
      </c>
      <c r="E21" s="30" t="s">
        <v>358</v>
      </c>
      <c r="F21" s="30" t="s">
        <v>358</v>
      </c>
      <c r="G21" s="30" t="s">
        <v>358</v>
      </c>
      <c r="H21" s="31" t="s">
        <v>360</v>
      </c>
      <c r="I21" s="30" t="s">
        <v>358</v>
      </c>
      <c r="J21" s="32"/>
      <c r="K21" s="32"/>
      <c r="L21" s="32"/>
      <c r="M21" s="32"/>
      <c r="N21" s="32"/>
      <c r="O21" s="32"/>
      <c r="P21" s="32" t="s">
        <v>174</v>
      </c>
      <c r="Q21" s="32" t="s">
        <v>174</v>
      </c>
      <c r="R21" s="33"/>
      <c r="S21" s="33" t="s">
        <v>345</v>
      </c>
    </row>
    <row r="22" ht="24.0" customHeight="1">
      <c r="A22" s="26" t="s">
        <v>145</v>
      </c>
      <c r="B22" s="26" t="s">
        <v>364</v>
      </c>
      <c r="C22" s="26" t="s">
        <v>365</v>
      </c>
      <c r="D22" s="26" t="s">
        <v>366</v>
      </c>
      <c r="E22" s="26" t="s">
        <v>367</v>
      </c>
      <c r="F22" s="26" t="s">
        <v>367</v>
      </c>
      <c r="G22" s="26" t="s">
        <v>368</v>
      </c>
      <c r="H22" s="27" t="s">
        <v>369</v>
      </c>
      <c r="I22" s="26" t="s">
        <v>368</v>
      </c>
      <c r="J22" s="28"/>
      <c r="K22" s="28"/>
      <c r="L22" s="28"/>
      <c r="M22" s="28"/>
      <c r="N22" s="28"/>
      <c r="O22" s="28"/>
      <c r="P22" s="28" t="s">
        <v>174</v>
      </c>
      <c r="Q22" s="28" t="s">
        <v>174</v>
      </c>
      <c r="R22" s="29"/>
      <c r="S22" s="29" t="s">
        <v>345</v>
      </c>
    </row>
    <row r="23" ht="24.0" customHeight="1">
      <c r="A23" s="30" t="s">
        <v>145</v>
      </c>
      <c r="B23" s="30" t="s">
        <v>149</v>
      </c>
      <c r="C23" s="30" t="s">
        <v>255</v>
      </c>
      <c r="D23" s="30" t="s">
        <v>374</v>
      </c>
      <c r="E23" s="30" t="s">
        <v>375</v>
      </c>
      <c r="F23" s="30" t="s">
        <v>376</v>
      </c>
      <c r="G23" s="30" t="s">
        <v>377</v>
      </c>
      <c r="H23" s="31" t="s">
        <v>378</v>
      </c>
      <c r="I23" s="30" t="s">
        <v>377</v>
      </c>
      <c r="J23" s="32"/>
      <c r="K23" s="32"/>
      <c r="L23" s="32"/>
      <c r="M23" s="32"/>
      <c r="N23" s="32"/>
      <c r="O23" s="32"/>
      <c r="P23" s="32" t="s">
        <v>174</v>
      </c>
      <c r="Q23" s="32" t="s">
        <v>174</v>
      </c>
      <c r="R23" s="33"/>
      <c r="S23" s="33" t="s">
        <v>345</v>
      </c>
    </row>
    <row r="24" ht="24.0" customHeight="1">
      <c r="A24" s="26" t="s">
        <v>145</v>
      </c>
      <c r="B24" s="26" t="s">
        <v>149</v>
      </c>
      <c r="C24" s="26" t="s">
        <v>255</v>
      </c>
      <c r="D24" s="26" t="s">
        <v>374</v>
      </c>
      <c r="E24" s="26" t="s">
        <v>375</v>
      </c>
      <c r="F24" s="26" t="s">
        <v>376</v>
      </c>
      <c r="G24" s="26" t="s">
        <v>15</v>
      </c>
      <c r="H24" s="27" t="s">
        <v>383</v>
      </c>
      <c r="I24" s="26" t="s">
        <v>15</v>
      </c>
      <c r="J24" s="28"/>
      <c r="K24" s="28"/>
      <c r="L24" s="28"/>
      <c r="M24" s="28"/>
      <c r="N24" s="28"/>
      <c r="O24" s="28"/>
      <c r="P24" s="28" t="s">
        <v>174</v>
      </c>
      <c r="Q24" s="28" t="s">
        <v>174</v>
      </c>
      <c r="R24" s="29"/>
      <c r="S24" s="29" t="s">
        <v>345</v>
      </c>
    </row>
    <row r="25" ht="15.0" customHeight="1">
      <c r="A25" s="30" t="s">
        <v>145</v>
      </c>
      <c r="B25" s="30" t="s">
        <v>149</v>
      </c>
      <c r="C25" s="30" t="s">
        <v>255</v>
      </c>
      <c r="D25" s="30" t="s">
        <v>374</v>
      </c>
      <c r="E25" s="30" t="s">
        <v>375</v>
      </c>
      <c r="F25" s="30" t="s">
        <v>387</v>
      </c>
      <c r="G25" s="30" t="s">
        <v>16</v>
      </c>
      <c r="H25" s="31" t="s">
        <v>388</v>
      </c>
      <c r="I25" s="30" t="s">
        <v>16</v>
      </c>
      <c r="J25" s="32"/>
      <c r="K25" s="32"/>
      <c r="L25" s="32"/>
      <c r="M25" s="32"/>
      <c r="N25" s="32"/>
      <c r="O25" s="32"/>
      <c r="P25" s="32" t="s">
        <v>174</v>
      </c>
      <c r="Q25" s="32" t="s">
        <v>174</v>
      </c>
      <c r="R25" s="33"/>
      <c r="S25" s="33" t="s">
        <v>313</v>
      </c>
    </row>
    <row r="26" ht="15.0" customHeight="1">
      <c r="A26" s="26" t="s">
        <v>145</v>
      </c>
      <c r="B26" s="26" t="s">
        <v>149</v>
      </c>
      <c r="C26" s="26" t="s">
        <v>255</v>
      </c>
      <c r="D26" s="26" t="s">
        <v>374</v>
      </c>
      <c r="E26" s="26" t="s">
        <v>375</v>
      </c>
      <c r="F26" s="26" t="s">
        <v>376</v>
      </c>
      <c r="G26" s="26" t="s">
        <v>392</v>
      </c>
      <c r="H26" s="27" t="s">
        <v>393</v>
      </c>
      <c r="I26" s="26" t="s">
        <v>392</v>
      </c>
      <c r="J26" s="28"/>
      <c r="K26" s="28"/>
      <c r="L26" s="28"/>
      <c r="M26" s="28"/>
      <c r="N26" s="28"/>
      <c r="O26" s="28"/>
      <c r="P26" s="28" t="s">
        <v>174</v>
      </c>
      <c r="Q26" s="28" t="s">
        <v>174</v>
      </c>
      <c r="R26" s="29"/>
      <c r="S26" s="29" t="s">
        <v>313</v>
      </c>
    </row>
    <row r="27" ht="15.0" customHeight="1">
      <c r="A27" s="30" t="s">
        <v>145</v>
      </c>
      <c r="B27" s="30" t="s">
        <v>364</v>
      </c>
      <c r="C27" s="30" t="s">
        <v>365</v>
      </c>
      <c r="D27" s="30" t="s">
        <v>366</v>
      </c>
      <c r="E27" s="30" t="s">
        <v>367</v>
      </c>
      <c r="F27" s="30" t="s">
        <v>367</v>
      </c>
      <c r="G27" s="30" t="s">
        <v>402</v>
      </c>
      <c r="H27" s="31" t="s">
        <v>404</v>
      </c>
      <c r="I27" s="30" t="s">
        <v>402</v>
      </c>
      <c r="J27" s="32"/>
      <c r="K27" s="32"/>
      <c r="L27" s="32"/>
      <c r="M27" s="32"/>
      <c r="N27" s="32"/>
      <c r="O27" s="32"/>
      <c r="P27" s="32" t="s">
        <v>174</v>
      </c>
      <c r="Q27" s="32" t="s">
        <v>174</v>
      </c>
      <c r="R27" s="33"/>
      <c r="S27" s="33" t="s">
        <v>313</v>
      </c>
    </row>
    <row r="28" ht="15.0" customHeight="1">
      <c r="A28" s="26" t="s">
        <v>145</v>
      </c>
      <c r="B28" s="26" t="s">
        <v>364</v>
      </c>
      <c r="C28" s="26" t="s">
        <v>365</v>
      </c>
      <c r="D28" s="26" t="s">
        <v>366</v>
      </c>
      <c r="E28" s="26" t="s">
        <v>409</v>
      </c>
      <c r="F28" s="26" t="s">
        <v>409</v>
      </c>
      <c r="G28" s="26" t="s">
        <v>410</v>
      </c>
      <c r="H28" s="27" t="s">
        <v>411</v>
      </c>
      <c r="I28" s="26" t="s">
        <v>410</v>
      </c>
      <c r="J28" s="28"/>
      <c r="K28" s="28"/>
      <c r="L28" s="28"/>
      <c r="M28" s="28"/>
      <c r="N28" s="28"/>
      <c r="O28" s="28"/>
      <c r="P28" s="28" t="s">
        <v>174</v>
      </c>
      <c r="Q28" s="28" t="s">
        <v>174</v>
      </c>
      <c r="R28" s="29"/>
      <c r="S28" s="29" t="s">
        <v>313</v>
      </c>
    </row>
    <row r="29" ht="15.0" customHeight="1">
      <c r="A29" s="30" t="s">
        <v>145</v>
      </c>
      <c r="B29" s="30" t="s">
        <v>364</v>
      </c>
      <c r="C29" s="30" t="s">
        <v>365</v>
      </c>
      <c r="D29" s="30" t="s">
        <v>366</v>
      </c>
      <c r="E29" s="30" t="s">
        <v>417</v>
      </c>
      <c r="F29" s="30" t="s">
        <v>417</v>
      </c>
      <c r="G29" s="30" t="s">
        <v>418</v>
      </c>
      <c r="H29" s="31" t="s">
        <v>422</v>
      </c>
      <c r="I29" s="30" t="s">
        <v>418</v>
      </c>
      <c r="J29" s="32"/>
      <c r="K29" s="32"/>
      <c r="L29" s="32"/>
      <c r="M29" s="32"/>
      <c r="N29" s="32"/>
      <c r="O29" s="32"/>
      <c r="P29" s="32" t="s">
        <v>174</v>
      </c>
      <c r="Q29" s="32" t="s">
        <v>174</v>
      </c>
      <c r="R29" s="33"/>
      <c r="S29" s="33" t="s">
        <v>313</v>
      </c>
    </row>
    <row r="30" ht="15.0" customHeight="1">
      <c r="A30" s="26" t="s">
        <v>145</v>
      </c>
      <c r="B30" s="26" t="s">
        <v>364</v>
      </c>
      <c r="C30" s="26" t="s">
        <v>365</v>
      </c>
      <c r="D30" s="26" t="s">
        <v>366</v>
      </c>
      <c r="E30" s="26" t="s">
        <v>417</v>
      </c>
      <c r="F30" s="26" t="s">
        <v>417</v>
      </c>
      <c r="G30" s="26" t="s">
        <v>417</v>
      </c>
      <c r="H30" s="27" t="s">
        <v>425</v>
      </c>
      <c r="I30" s="26" t="s">
        <v>417</v>
      </c>
      <c r="J30" s="28"/>
      <c r="K30" s="28"/>
      <c r="L30" s="28"/>
      <c r="M30" s="28"/>
      <c r="N30" s="28"/>
      <c r="O30" s="28"/>
      <c r="P30" s="28" t="s">
        <v>174</v>
      </c>
      <c r="Q30" s="28" t="s">
        <v>174</v>
      </c>
      <c r="R30" s="29"/>
      <c r="S30" s="29" t="s">
        <v>313</v>
      </c>
    </row>
    <row r="31" ht="24.0" customHeight="1">
      <c r="A31" s="30" t="s">
        <v>145</v>
      </c>
      <c r="B31" s="30" t="s">
        <v>364</v>
      </c>
      <c r="C31" s="30" t="s">
        <v>365</v>
      </c>
      <c r="D31" s="30" t="s">
        <v>366</v>
      </c>
      <c r="E31" s="30" t="s">
        <v>427</v>
      </c>
      <c r="F31" s="30" t="s">
        <v>427</v>
      </c>
      <c r="G31" s="30" t="s">
        <v>428</v>
      </c>
      <c r="H31" s="31" t="s">
        <v>429</v>
      </c>
      <c r="I31" s="30" t="s">
        <v>428</v>
      </c>
      <c r="J31" s="32"/>
      <c r="K31" s="32"/>
      <c r="L31" s="32"/>
      <c r="M31" s="32"/>
      <c r="N31" s="32"/>
      <c r="O31" s="32"/>
      <c r="P31" s="32" t="s">
        <v>174</v>
      </c>
      <c r="Q31" s="32" t="s">
        <v>174</v>
      </c>
      <c r="R31" s="33"/>
      <c r="S31" s="33" t="s">
        <v>313</v>
      </c>
    </row>
    <row r="32" ht="24.0" customHeight="1">
      <c r="A32" s="26" t="s">
        <v>145</v>
      </c>
      <c r="B32" s="26" t="s">
        <v>431</v>
      </c>
      <c r="C32" s="26" t="s">
        <v>434</v>
      </c>
      <c r="D32" s="26" t="s">
        <v>434</v>
      </c>
      <c r="E32" s="26" t="s">
        <v>434</v>
      </c>
      <c r="F32" s="26" t="s">
        <v>434</v>
      </c>
      <c r="G32" s="26" t="s">
        <v>435</v>
      </c>
      <c r="H32" s="27" t="s">
        <v>436</v>
      </c>
      <c r="I32" s="26" t="s">
        <v>435</v>
      </c>
      <c r="J32" s="28"/>
      <c r="K32" s="28"/>
      <c r="L32" s="28"/>
      <c r="M32" s="28"/>
      <c r="N32" s="28"/>
      <c r="O32" s="28"/>
      <c r="P32" s="28" t="s">
        <v>174</v>
      </c>
      <c r="Q32" s="28" t="s">
        <v>174</v>
      </c>
      <c r="R32" s="29"/>
      <c r="S32" s="29" t="s">
        <v>313</v>
      </c>
    </row>
    <row r="33" ht="36.0" customHeight="1">
      <c r="A33" s="30" t="s">
        <v>145</v>
      </c>
      <c r="B33" s="30" t="s">
        <v>431</v>
      </c>
      <c r="C33" s="30" t="s">
        <v>437</v>
      </c>
      <c r="D33" s="30" t="s">
        <v>438</v>
      </c>
      <c r="E33" s="30" t="s">
        <v>440</v>
      </c>
      <c r="F33" s="30" t="s">
        <v>440</v>
      </c>
      <c r="G33" s="30" t="s">
        <v>441</v>
      </c>
      <c r="H33" s="31" t="s">
        <v>442</v>
      </c>
      <c r="I33" s="30" t="s">
        <v>441</v>
      </c>
      <c r="J33" s="32"/>
      <c r="K33" s="32"/>
      <c r="L33" s="32"/>
      <c r="M33" s="32"/>
      <c r="N33" s="32"/>
      <c r="O33" s="32"/>
      <c r="P33" s="32" t="s">
        <v>174</v>
      </c>
      <c r="Q33" s="32" t="s">
        <v>174</v>
      </c>
      <c r="R33" s="33"/>
      <c r="S33" s="33" t="s">
        <v>206</v>
      </c>
    </row>
    <row r="34" ht="36.0" customHeight="1">
      <c r="A34" s="26" t="s">
        <v>145</v>
      </c>
      <c r="B34" s="26" t="s">
        <v>431</v>
      </c>
      <c r="C34" s="26" t="s">
        <v>437</v>
      </c>
      <c r="D34" s="26" t="s">
        <v>438</v>
      </c>
      <c r="E34" s="26" t="s">
        <v>443</v>
      </c>
      <c r="F34" s="26" t="s">
        <v>443</v>
      </c>
      <c r="G34" s="26" t="s">
        <v>443</v>
      </c>
      <c r="H34" s="27" t="s">
        <v>444</v>
      </c>
      <c r="I34" s="26" t="s">
        <v>443</v>
      </c>
      <c r="J34" s="28"/>
      <c r="K34" s="28"/>
      <c r="L34" s="28"/>
      <c r="M34" s="28"/>
      <c r="N34" s="28"/>
      <c r="O34" s="28"/>
      <c r="P34" s="28" t="s">
        <v>174</v>
      </c>
      <c r="Q34" s="28" t="s">
        <v>174</v>
      </c>
      <c r="R34" s="29"/>
      <c r="S34" s="29" t="s">
        <v>206</v>
      </c>
    </row>
    <row r="35" ht="24.0" customHeight="1">
      <c r="A35" s="30" t="s">
        <v>145</v>
      </c>
      <c r="B35" s="30" t="s">
        <v>431</v>
      </c>
      <c r="C35" s="30" t="s">
        <v>437</v>
      </c>
      <c r="D35" s="30" t="s">
        <v>450</v>
      </c>
      <c r="E35" s="30" t="s">
        <v>451</v>
      </c>
      <c r="F35" s="30" t="s">
        <v>451</v>
      </c>
      <c r="G35" s="30" t="s">
        <v>450</v>
      </c>
      <c r="H35" s="31" t="s">
        <v>454</v>
      </c>
      <c r="I35" s="30" t="s">
        <v>450</v>
      </c>
      <c r="J35" s="32"/>
      <c r="K35" s="32"/>
      <c r="L35" s="32"/>
      <c r="M35" s="32"/>
      <c r="N35" s="32"/>
      <c r="O35" s="32"/>
      <c r="P35" s="32" t="s">
        <v>174</v>
      </c>
      <c r="Q35" s="32" t="s">
        <v>174</v>
      </c>
      <c r="R35" s="33"/>
      <c r="S35" s="33" t="s">
        <v>455</v>
      </c>
    </row>
    <row r="36" ht="15.0" customHeight="1">
      <c r="A36" s="26" t="s">
        <v>145</v>
      </c>
      <c r="B36" s="26" t="s">
        <v>364</v>
      </c>
      <c r="C36" s="26" t="s">
        <v>365</v>
      </c>
      <c r="D36" s="26" t="s">
        <v>366</v>
      </c>
      <c r="E36" s="26" t="s">
        <v>417</v>
      </c>
      <c r="F36" s="26" t="s">
        <v>417</v>
      </c>
      <c r="G36" s="26" t="s">
        <v>457</v>
      </c>
      <c r="H36" s="27" t="s">
        <v>458</v>
      </c>
      <c r="I36" s="26" t="s">
        <v>457</v>
      </c>
      <c r="J36" s="28"/>
      <c r="K36" s="28"/>
      <c r="L36" s="28"/>
      <c r="M36" s="28"/>
      <c r="N36" s="28"/>
      <c r="O36" s="28"/>
      <c r="P36" s="28" t="s">
        <v>174</v>
      </c>
      <c r="Q36" s="28" t="s">
        <v>174</v>
      </c>
      <c r="R36" s="29"/>
      <c r="S36" s="29" t="s">
        <v>313</v>
      </c>
    </row>
    <row r="37" ht="36.0" customHeight="1">
      <c r="A37" s="30" t="s">
        <v>145</v>
      </c>
      <c r="B37" s="30" t="s">
        <v>364</v>
      </c>
      <c r="C37" s="30" t="s">
        <v>365</v>
      </c>
      <c r="D37" s="30" t="s">
        <v>366</v>
      </c>
      <c r="E37" s="30" t="s">
        <v>417</v>
      </c>
      <c r="F37" s="30" t="s">
        <v>417</v>
      </c>
      <c r="G37" s="30" t="s">
        <v>462</v>
      </c>
      <c r="H37" s="31" t="s">
        <v>463</v>
      </c>
      <c r="I37" s="30" t="s">
        <v>462</v>
      </c>
      <c r="J37" s="32"/>
      <c r="K37" s="32"/>
      <c r="L37" s="32"/>
      <c r="M37" s="32"/>
      <c r="N37" s="32"/>
      <c r="O37" s="32"/>
      <c r="P37" s="32" t="s">
        <v>174</v>
      </c>
      <c r="Q37" s="32" t="s">
        <v>174</v>
      </c>
      <c r="R37" s="33"/>
      <c r="S37" s="33" t="s">
        <v>467</v>
      </c>
    </row>
    <row r="38" ht="24.0" customHeight="1">
      <c r="A38" s="26" t="s">
        <v>145</v>
      </c>
      <c r="B38" s="26" t="s">
        <v>149</v>
      </c>
      <c r="C38" s="26" t="s">
        <v>255</v>
      </c>
      <c r="D38" s="26" t="s">
        <v>269</v>
      </c>
      <c r="E38" s="26" t="s">
        <v>358</v>
      </c>
      <c r="F38" s="26" t="s">
        <v>358</v>
      </c>
      <c r="G38" s="26" t="s">
        <v>468</v>
      </c>
      <c r="H38" s="27" t="s">
        <v>469</v>
      </c>
      <c r="I38" s="26" t="s">
        <v>468</v>
      </c>
      <c r="J38" s="28"/>
      <c r="K38" s="28"/>
      <c r="L38" s="28"/>
      <c r="M38" s="28"/>
      <c r="N38" s="28"/>
      <c r="O38" s="28"/>
      <c r="P38" s="28" t="s">
        <v>174</v>
      </c>
      <c r="Q38" s="28" t="s">
        <v>174</v>
      </c>
      <c r="R38" s="29"/>
      <c r="S38" s="29" t="s">
        <v>313</v>
      </c>
    </row>
    <row r="39" ht="15.0" customHeight="1">
      <c r="A39" s="30" t="s">
        <v>145</v>
      </c>
      <c r="B39" s="30" t="s">
        <v>149</v>
      </c>
      <c r="C39" s="30" t="s">
        <v>255</v>
      </c>
      <c r="D39" s="30" t="s">
        <v>472</v>
      </c>
      <c r="E39" s="30" t="s">
        <v>473</v>
      </c>
      <c r="F39" s="30" t="s">
        <v>87</v>
      </c>
      <c r="G39" s="30" t="s">
        <v>473</v>
      </c>
      <c r="H39" s="31" t="s">
        <v>474</v>
      </c>
      <c r="I39" s="30" t="s">
        <v>473</v>
      </c>
      <c r="J39" s="32"/>
      <c r="K39" s="32"/>
      <c r="L39" s="32"/>
      <c r="M39" s="32"/>
      <c r="N39" s="32"/>
      <c r="O39" s="32"/>
      <c r="P39" s="32" t="s">
        <v>174</v>
      </c>
      <c r="Q39" s="32" t="s">
        <v>174</v>
      </c>
      <c r="R39" s="33"/>
      <c r="S39" s="33" t="s">
        <v>313</v>
      </c>
    </row>
    <row r="40" ht="15.0" customHeight="1">
      <c r="A40" s="26" t="s">
        <v>145</v>
      </c>
      <c r="B40" s="26" t="s">
        <v>149</v>
      </c>
      <c r="C40" s="26" t="s">
        <v>255</v>
      </c>
      <c r="D40" s="26" t="s">
        <v>472</v>
      </c>
      <c r="E40" s="26" t="s">
        <v>473</v>
      </c>
      <c r="F40" s="26" t="s">
        <v>477</v>
      </c>
      <c r="G40" s="26" t="s">
        <v>478</v>
      </c>
      <c r="H40" s="27" t="s">
        <v>479</v>
      </c>
      <c r="I40" s="26" t="s">
        <v>478</v>
      </c>
      <c r="J40" s="28"/>
      <c r="K40" s="28"/>
      <c r="L40" s="28"/>
      <c r="M40" s="28"/>
      <c r="N40" s="28"/>
      <c r="O40" s="28"/>
      <c r="P40" s="28" t="s">
        <v>174</v>
      </c>
      <c r="Q40" s="28" t="s">
        <v>174</v>
      </c>
      <c r="R40" s="29"/>
      <c r="S40" s="29" t="s">
        <v>313</v>
      </c>
    </row>
    <row r="41" ht="24.0" customHeight="1">
      <c r="A41" s="30" t="s">
        <v>145</v>
      </c>
      <c r="B41" s="30" t="s">
        <v>149</v>
      </c>
      <c r="C41" s="30" t="s">
        <v>255</v>
      </c>
      <c r="D41" s="30" t="s">
        <v>472</v>
      </c>
      <c r="E41" s="30" t="s">
        <v>473</v>
      </c>
      <c r="F41" s="30" t="s">
        <v>482</v>
      </c>
      <c r="G41" s="30" t="s">
        <v>483</v>
      </c>
      <c r="H41" s="31" t="s">
        <v>484</v>
      </c>
      <c r="I41" s="30" t="s">
        <v>483</v>
      </c>
      <c r="J41" s="32"/>
      <c r="K41" s="32"/>
      <c r="L41" s="32"/>
      <c r="M41" s="32"/>
      <c r="N41" s="32"/>
      <c r="O41" s="32"/>
      <c r="P41" s="32" t="s">
        <v>174</v>
      </c>
      <c r="Q41" s="32" t="s">
        <v>174</v>
      </c>
      <c r="R41" s="33"/>
      <c r="S41" s="33" t="s">
        <v>313</v>
      </c>
    </row>
    <row r="42" ht="36.0" customHeight="1">
      <c r="A42" s="26" t="s">
        <v>145</v>
      </c>
      <c r="B42" s="26" t="s">
        <v>149</v>
      </c>
      <c r="C42" s="26" t="s">
        <v>255</v>
      </c>
      <c r="D42" s="26" t="s">
        <v>472</v>
      </c>
      <c r="E42" s="26" t="s">
        <v>488</v>
      </c>
      <c r="F42" s="26" t="s">
        <v>488</v>
      </c>
      <c r="G42" s="26" t="s">
        <v>490</v>
      </c>
      <c r="H42" s="27" t="s">
        <v>491</v>
      </c>
      <c r="I42" s="26" t="s">
        <v>490</v>
      </c>
      <c r="J42" s="28"/>
      <c r="K42" s="28"/>
      <c r="L42" s="28"/>
      <c r="M42" s="28"/>
      <c r="N42" s="28"/>
      <c r="O42" s="28"/>
      <c r="P42" s="28" t="s">
        <v>174</v>
      </c>
      <c r="Q42" s="28" t="s">
        <v>174</v>
      </c>
      <c r="R42" s="29"/>
      <c r="S42" s="29" t="s">
        <v>206</v>
      </c>
    </row>
    <row r="43" ht="15.0" customHeight="1">
      <c r="A43" s="30" t="s">
        <v>493</v>
      </c>
      <c r="B43" s="30" t="s">
        <v>494</v>
      </c>
      <c r="C43" s="30" t="s">
        <v>495</v>
      </c>
      <c r="D43" s="30" t="s">
        <v>496</v>
      </c>
      <c r="E43" s="30" t="s">
        <v>496</v>
      </c>
      <c r="F43" s="30" t="s">
        <v>496</v>
      </c>
      <c r="G43" s="30" t="s">
        <v>497</v>
      </c>
      <c r="H43" s="31" t="s">
        <v>499</v>
      </c>
      <c r="I43" s="30" t="s">
        <v>497</v>
      </c>
      <c r="J43" s="32"/>
      <c r="K43" s="32"/>
      <c r="L43" s="32"/>
      <c r="M43" s="32"/>
      <c r="N43" s="32"/>
      <c r="O43" s="32"/>
      <c r="P43" s="32" t="s">
        <v>174</v>
      </c>
      <c r="Q43" s="32" t="s">
        <v>174</v>
      </c>
      <c r="R43" s="33"/>
      <c r="S43" s="33" t="s">
        <v>313</v>
      </c>
    </row>
    <row r="44" ht="24.0" customHeight="1">
      <c r="A44" s="26" t="s">
        <v>493</v>
      </c>
      <c r="B44" s="26" t="s">
        <v>494</v>
      </c>
      <c r="C44" s="26" t="s">
        <v>503</v>
      </c>
      <c r="D44" s="26" t="s">
        <v>504</v>
      </c>
      <c r="E44" s="26" t="s">
        <v>504</v>
      </c>
      <c r="F44" s="26" t="s">
        <v>504</v>
      </c>
      <c r="G44" s="26" t="s">
        <v>505</v>
      </c>
      <c r="H44" s="27" t="s">
        <v>506</v>
      </c>
      <c r="I44" s="26" t="s">
        <v>505</v>
      </c>
      <c r="J44" s="28"/>
      <c r="K44" s="28"/>
      <c r="L44" s="28"/>
      <c r="M44" s="28"/>
      <c r="N44" s="28"/>
      <c r="O44" s="28"/>
      <c r="P44" s="28" t="s">
        <v>174</v>
      </c>
      <c r="Q44" s="28" t="s">
        <v>174</v>
      </c>
      <c r="R44" s="29"/>
      <c r="S44" s="29" t="s">
        <v>345</v>
      </c>
    </row>
    <row r="45" ht="15.0" customHeight="1">
      <c r="A45" s="30" t="s">
        <v>493</v>
      </c>
      <c r="B45" s="30" t="s">
        <v>508</v>
      </c>
      <c r="C45" s="30" t="s">
        <v>509</v>
      </c>
      <c r="D45" s="30" t="s">
        <v>510</v>
      </c>
      <c r="E45" s="30" t="s">
        <v>510</v>
      </c>
      <c r="F45" s="30" t="s">
        <v>510</v>
      </c>
      <c r="G45" s="30" t="s">
        <v>511</v>
      </c>
      <c r="H45" s="31" t="s">
        <v>512</v>
      </c>
      <c r="I45" s="30" t="s">
        <v>511</v>
      </c>
      <c r="J45" s="32"/>
      <c r="K45" s="32"/>
      <c r="L45" s="32"/>
      <c r="M45" s="32"/>
      <c r="N45" s="32"/>
      <c r="O45" s="32"/>
      <c r="P45" s="32" t="s">
        <v>174</v>
      </c>
      <c r="Q45" s="32" t="s">
        <v>174</v>
      </c>
      <c r="R45" s="33"/>
      <c r="S45" s="33" t="s">
        <v>313</v>
      </c>
    </row>
    <row r="46" ht="15.0" customHeight="1">
      <c r="A46" s="26" t="s">
        <v>493</v>
      </c>
      <c r="B46" s="26" t="s">
        <v>494</v>
      </c>
      <c r="C46" s="26" t="s">
        <v>516</v>
      </c>
      <c r="D46" s="26" t="s">
        <v>517</v>
      </c>
      <c r="E46" s="26" t="s">
        <v>517</v>
      </c>
      <c r="F46" s="26" t="s">
        <v>517</v>
      </c>
      <c r="G46" s="26" t="s">
        <v>517</v>
      </c>
      <c r="H46" s="27" t="s">
        <v>518</v>
      </c>
      <c r="I46" s="26" t="s">
        <v>517</v>
      </c>
      <c r="J46" s="28"/>
      <c r="K46" s="28"/>
      <c r="L46" s="28"/>
      <c r="M46" s="28"/>
      <c r="N46" s="28"/>
      <c r="O46" s="28"/>
      <c r="P46" s="28" t="s">
        <v>174</v>
      </c>
      <c r="Q46" s="28" t="s">
        <v>174</v>
      </c>
      <c r="R46" s="29"/>
      <c r="S46" s="29" t="s">
        <v>313</v>
      </c>
    </row>
    <row r="47" ht="36.0" customHeight="1">
      <c r="A47" s="30" t="s">
        <v>493</v>
      </c>
      <c r="B47" s="30" t="s">
        <v>494</v>
      </c>
      <c r="C47" s="30" t="s">
        <v>516</v>
      </c>
      <c r="D47" s="30" t="s">
        <v>517</v>
      </c>
      <c r="E47" s="30" t="s">
        <v>517</v>
      </c>
      <c r="F47" s="30" t="s">
        <v>517</v>
      </c>
      <c r="G47" s="30" t="s">
        <v>517</v>
      </c>
      <c r="H47" s="31" t="s">
        <v>525</v>
      </c>
      <c r="I47" s="30" t="s">
        <v>517</v>
      </c>
      <c r="J47" s="32"/>
      <c r="K47" s="32"/>
      <c r="L47" s="32"/>
      <c r="M47" s="32"/>
      <c r="N47" s="32"/>
      <c r="O47" s="32"/>
      <c r="P47" s="32" t="s">
        <v>174</v>
      </c>
      <c r="Q47" s="32" t="s">
        <v>174</v>
      </c>
      <c r="R47" s="33"/>
      <c r="S47" s="33" t="s">
        <v>206</v>
      </c>
    </row>
    <row r="48" ht="15.0" customHeight="1">
      <c r="A48" s="26" t="s">
        <v>493</v>
      </c>
      <c r="B48" s="26" t="s">
        <v>494</v>
      </c>
      <c r="C48" s="26" t="s">
        <v>516</v>
      </c>
      <c r="D48" s="26" t="s">
        <v>528</v>
      </c>
      <c r="E48" s="26" t="s">
        <v>528</v>
      </c>
      <c r="F48" s="26" t="s">
        <v>528</v>
      </c>
      <c r="G48" s="26" t="s">
        <v>528</v>
      </c>
      <c r="H48" s="27" t="s">
        <v>530</v>
      </c>
      <c r="I48" s="26" t="s">
        <v>528</v>
      </c>
      <c r="J48" s="28"/>
      <c r="K48" s="28"/>
      <c r="L48" s="28"/>
      <c r="M48" s="28"/>
      <c r="N48" s="28"/>
      <c r="O48" s="28"/>
      <c r="P48" s="28" t="s">
        <v>174</v>
      </c>
      <c r="Q48" s="28" t="s">
        <v>174</v>
      </c>
      <c r="R48" s="29"/>
      <c r="S48" s="29" t="s">
        <v>177</v>
      </c>
    </row>
    <row r="49" ht="24.0" customHeight="1">
      <c r="A49" s="30" t="s">
        <v>493</v>
      </c>
      <c r="B49" s="30" t="s">
        <v>508</v>
      </c>
      <c r="C49" s="30" t="s">
        <v>509</v>
      </c>
      <c r="D49" s="30" t="s">
        <v>532</v>
      </c>
      <c r="E49" s="30" t="s">
        <v>533</v>
      </c>
      <c r="F49" s="30" t="s">
        <v>533</v>
      </c>
      <c r="G49" s="30" t="s">
        <v>533</v>
      </c>
      <c r="H49" s="31" t="s">
        <v>537</v>
      </c>
      <c r="I49" s="30" t="s">
        <v>533</v>
      </c>
      <c r="J49" s="32"/>
      <c r="K49" s="32"/>
      <c r="L49" s="32"/>
      <c r="M49" s="32"/>
      <c r="N49" s="32"/>
      <c r="O49" s="32"/>
      <c r="P49" s="32" t="s">
        <v>174</v>
      </c>
      <c r="Q49" s="32" t="s">
        <v>174</v>
      </c>
      <c r="R49" s="33"/>
      <c r="S49" s="33" t="s">
        <v>455</v>
      </c>
    </row>
    <row r="50" ht="15.0" customHeight="1">
      <c r="A50" s="26" t="s">
        <v>493</v>
      </c>
      <c r="B50" s="26" t="s">
        <v>508</v>
      </c>
      <c r="C50" s="26" t="s">
        <v>509</v>
      </c>
      <c r="D50" s="26" t="s">
        <v>532</v>
      </c>
      <c r="E50" s="26" t="s">
        <v>543</v>
      </c>
      <c r="F50" s="26" t="s">
        <v>543</v>
      </c>
      <c r="G50" s="26" t="s">
        <v>543</v>
      </c>
      <c r="H50" s="27" t="s">
        <v>546</v>
      </c>
      <c r="I50" s="26" t="s">
        <v>543</v>
      </c>
      <c r="J50" s="28"/>
      <c r="K50" s="28"/>
      <c r="L50" s="28"/>
      <c r="M50" s="28"/>
      <c r="N50" s="28"/>
      <c r="O50" s="28"/>
      <c r="P50" s="28" t="s">
        <v>174</v>
      </c>
      <c r="Q50" s="28" t="s">
        <v>174</v>
      </c>
      <c r="R50" s="29"/>
      <c r="S50" s="29" t="s">
        <v>313</v>
      </c>
    </row>
    <row r="51" ht="15.0" customHeight="1">
      <c r="A51" s="30" t="s">
        <v>493</v>
      </c>
      <c r="B51" s="30" t="s">
        <v>494</v>
      </c>
      <c r="C51" s="30" t="s">
        <v>516</v>
      </c>
      <c r="D51" s="30" t="s">
        <v>548</v>
      </c>
      <c r="E51" s="30" t="s">
        <v>548</v>
      </c>
      <c r="F51" s="30" t="s">
        <v>548</v>
      </c>
      <c r="G51" s="30" t="s">
        <v>549</v>
      </c>
      <c r="H51" s="31" t="s">
        <v>550</v>
      </c>
      <c r="I51" s="30" t="s">
        <v>549</v>
      </c>
      <c r="J51" s="32"/>
      <c r="K51" s="32"/>
      <c r="L51" s="32"/>
      <c r="M51" s="32"/>
      <c r="N51" s="32"/>
      <c r="O51" s="32"/>
      <c r="P51" s="32" t="s">
        <v>174</v>
      </c>
      <c r="Q51" s="32" t="s">
        <v>174</v>
      </c>
      <c r="R51" s="33"/>
      <c r="S51" s="33" t="s">
        <v>313</v>
      </c>
    </row>
    <row r="52" ht="36.0" customHeight="1">
      <c r="A52" s="26" t="s">
        <v>493</v>
      </c>
      <c r="B52" s="26" t="s">
        <v>494</v>
      </c>
      <c r="C52" s="26" t="s">
        <v>554</v>
      </c>
      <c r="D52" s="26" t="s">
        <v>555</v>
      </c>
      <c r="E52" s="26" t="s">
        <v>555</v>
      </c>
      <c r="F52" s="26" t="s">
        <v>555</v>
      </c>
      <c r="G52" s="26" t="s">
        <v>557</v>
      </c>
      <c r="H52" s="27" t="s">
        <v>558</v>
      </c>
      <c r="I52" s="26" t="s">
        <v>557</v>
      </c>
      <c r="J52" s="28"/>
      <c r="K52" s="28"/>
      <c r="L52" s="28"/>
      <c r="M52" s="28"/>
      <c r="N52" s="28"/>
      <c r="O52" s="28"/>
      <c r="P52" s="28" t="s">
        <v>174</v>
      </c>
      <c r="Q52" s="28" t="s">
        <v>174</v>
      </c>
      <c r="R52" s="29"/>
      <c r="S52" s="29" t="s">
        <v>206</v>
      </c>
    </row>
    <row r="53" ht="15.0" customHeight="1">
      <c r="A53" s="30" t="s">
        <v>493</v>
      </c>
      <c r="B53" s="30" t="s">
        <v>494</v>
      </c>
      <c r="C53" s="30" t="s">
        <v>516</v>
      </c>
      <c r="D53" s="30" t="s">
        <v>562</v>
      </c>
      <c r="E53" s="30" t="s">
        <v>562</v>
      </c>
      <c r="F53" s="30" t="s">
        <v>562</v>
      </c>
      <c r="G53" s="30" t="s">
        <v>562</v>
      </c>
      <c r="H53" s="31" t="s">
        <v>563</v>
      </c>
      <c r="I53" s="30" t="s">
        <v>562</v>
      </c>
      <c r="J53" s="32"/>
      <c r="K53" s="32"/>
      <c r="L53" s="32"/>
      <c r="M53" s="32"/>
      <c r="N53" s="32"/>
      <c r="O53" s="32"/>
      <c r="P53" s="32" t="s">
        <v>174</v>
      </c>
      <c r="Q53" s="32" t="s">
        <v>174</v>
      </c>
      <c r="R53" s="33"/>
      <c r="S53" s="33" t="s">
        <v>177</v>
      </c>
    </row>
    <row r="54" ht="15.0" customHeight="1">
      <c r="A54" s="26" t="s">
        <v>493</v>
      </c>
      <c r="B54" s="26" t="s">
        <v>494</v>
      </c>
      <c r="C54" s="26" t="s">
        <v>516</v>
      </c>
      <c r="D54" s="26" t="s">
        <v>568</v>
      </c>
      <c r="E54" s="26" t="s">
        <v>568</v>
      </c>
      <c r="F54" s="26" t="s">
        <v>568</v>
      </c>
      <c r="G54" s="26" t="s">
        <v>569</v>
      </c>
      <c r="H54" s="27" t="s">
        <v>570</v>
      </c>
      <c r="I54" s="26" t="s">
        <v>569</v>
      </c>
      <c r="J54" s="28"/>
      <c r="K54" s="28"/>
      <c r="L54" s="28"/>
      <c r="M54" s="28"/>
      <c r="N54" s="28"/>
      <c r="O54" s="28"/>
      <c r="P54" s="28" t="s">
        <v>174</v>
      </c>
      <c r="Q54" s="28" t="s">
        <v>174</v>
      </c>
      <c r="R54" s="29"/>
      <c r="S54" s="29" t="s">
        <v>313</v>
      </c>
    </row>
    <row r="55" ht="36.0" customHeight="1">
      <c r="A55" s="30" t="s">
        <v>493</v>
      </c>
      <c r="B55" s="30" t="s">
        <v>494</v>
      </c>
      <c r="C55" s="30" t="s">
        <v>516</v>
      </c>
      <c r="D55" s="30" t="s">
        <v>572</v>
      </c>
      <c r="E55" s="30" t="s">
        <v>572</v>
      </c>
      <c r="F55" s="30" t="s">
        <v>572</v>
      </c>
      <c r="G55" s="30" t="s">
        <v>572</v>
      </c>
      <c r="H55" s="31" t="s">
        <v>574</v>
      </c>
      <c r="I55" s="30" t="s">
        <v>575</v>
      </c>
      <c r="J55" s="32"/>
      <c r="K55" s="32"/>
      <c r="L55" s="32"/>
      <c r="M55" s="32"/>
      <c r="N55" s="32"/>
      <c r="O55" s="32"/>
      <c r="P55" s="32" t="s">
        <v>174</v>
      </c>
      <c r="Q55" s="32" t="s">
        <v>174</v>
      </c>
      <c r="R55" s="33"/>
      <c r="S55" s="33" t="s">
        <v>206</v>
      </c>
    </row>
    <row r="56" ht="15.0" customHeight="1">
      <c r="A56" s="26" t="s">
        <v>493</v>
      </c>
      <c r="B56" s="26" t="s">
        <v>494</v>
      </c>
      <c r="C56" s="26" t="s">
        <v>516</v>
      </c>
      <c r="D56" s="26" t="s">
        <v>578</v>
      </c>
      <c r="E56" s="26" t="s">
        <v>578</v>
      </c>
      <c r="F56" s="26" t="s">
        <v>578</v>
      </c>
      <c r="G56" s="26" t="s">
        <v>578</v>
      </c>
      <c r="H56" s="27" t="s">
        <v>579</v>
      </c>
      <c r="I56" s="26" t="s">
        <v>578</v>
      </c>
      <c r="J56" s="28"/>
      <c r="K56" s="28"/>
      <c r="L56" s="28"/>
      <c r="M56" s="28"/>
      <c r="N56" s="28"/>
      <c r="O56" s="28"/>
      <c r="P56" s="28" t="s">
        <v>174</v>
      </c>
      <c r="Q56" s="28" t="s">
        <v>174</v>
      </c>
      <c r="R56" s="29"/>
      <c r="S56" s="29" t="s">
        <v>313</v>
      </c>
    </row>
    <row r="57" ht="15.0" customHeight="1">
      <c r="A57" s="30" t="s">
        <v>493</v>
      </c>
      <c r="B57" s="30" t="s">
        <v>494</v>
      </c>
      <c r="C57" s="30" t="s">
        <v>516</v>
      </c>
      <c r="D57" s="30" t="s">
        <v>583</v>
      </c>
      <c r="E57" s="30" t="s">
        <v>583</v>
      </c>
      <c r="F57" s="30" t="s">
        <v>583</v>
      </c>
      <c r="G57" s="30" t="s">
        <v>583</v>
      </c>
      <c r="H57" s="31" t="s">
        <v>585</v>
      </c>
      <c r="I57" s="30" t="s">
        <v>583</v>
      </c>
      <c r="J57" s="32"/>
      <c r="K57" s="32"/>
      <c r="L57" s="32"/>
      <c r="M57" s="32"/>
      <c r="N57" s="32"/>
      <c r="O57" s="32"/>
      <c r="P57" s="32" t="s">
        <v>174</v>
      </c>
      <c r="Q57" s="32" t="s">
        <v>174</v>
      </c>
      <c r="R57" s="33"/>
      <c r="S57" s="33" t="s">
        <v>313</v>
      </c>
    </row>
    <row r="58" ht="15.0" customHeight="1">
      <c r="A58" s="26" t="s">
        <v>493</v>
      </c>
      <c r="B58" s="26" t="s">
        <v>494</v>
      </c>
      <c r="C58" s="26" t="s">
        <v>516</v>
      </c>
      <c r="D58" s="26" t="s">
        <v>587</v>
      </c>
      <c r="E58" s="26" t="s">
        <v>587</v>
      </c>
      <c r="F58" s="26" t="s">
        <v>587</v>
      </c>
      <c r="G58" s="26" t="s">
        <v>588</v>
      </c>
      <c r="H58" s="27" t="s">
        <v>589</v>
      </c>
      <c r="I58" s="26" t="s">
        <v>588</v>
      </c>
      <c r="J58" s="28"/>
      <c r="K58" s="28"/>
      <c r="L58" s="28"/>
      <c r="M58" s="28"/>
      <c r="N58" s="28"/>
      <c r="O58" s="28"/>
      <c r="P58" s="28" t="s">
        <v>174</v>
      </c>
      <c r="Q58" s="28" t="s">
        <v>174</v>
      </c>
      <c r="R58" s="29"/>
      <c r="S58" s="29" t="s">
        <v>313</v>
      </c>
    </row>
    <row r="59" ht="15.0" customHeight="1">
      <c r="A59" s="30" t="s">
        <v>493</v>
      </c>
      <c r="B59" s="30" t="s">
        <v>494</v>
      </c>
      <c r="C59" s="30" t="s">
        <v>516</v>
      </c>
      <c r="D59" s="30" t="s">
        <v>592</v>
      </c>
      <c r="E59" s="30" t="s">
        <v>592</v>
      </c>
      <c r="F59" s="30" t="s">
        <v>592</v>
      </c>
      <c r="G59" s="30" t="s">
        <v>592</v>
      </c>
      <c r="H59" s="31" t="s">
        <v>593</v>
      </c>
      <c r="I59" s="30" t="s">
        <v>592</v>
      </c>
      <c r="J59" s="32"/>
      <c r="K59" s="32"/>
      <c r="L59" s="32"/>
      <c r="M59" s="32"/>
      <c r="N59" s="32"/>
      <c r="O59" s="32"/>
      <c r="P59" s="32" t="s">
        <v>174</v>
      </c>
      <c r="Q59" s="32" t="s">
        <v>174</v>
      </c>
      <c r="R59" s="33"/>
      <c r="S59" s="33" t="s">
        <v>177</v>
      </c>
    </row>
    <row r="60" ht="15.0" customHeight="1">
      <c r="A60" s="26" t="s">
        <v>493</v>
      </c>
      <c r="B60" s="26" t="s">
        <v>595</v>
      </c>
      <c r="C60" s="26" t="s">
        <v>596</v>
      </c>
      <c r="D60" s="26" t="s">
        <v>597</v>
      </c>
      <c r="E60" s="26" t="s">
        <v>598</v>
      </c>
      <c r="F60" s="26" t="s">
        <v>598</v>
      </c>
      <c r="G60" s="26" t="s">
        <v>596</v>
      </c>
      <c r="H60" s="27" t="s">
        <v>602</v>
      </c>
      <c r="I60" s="26" t="s">
        <v>596</v>
      </c>
      <c r="J60" s="28"/>
      <c r="K60" s="28"/>
      <c r="L60" s="28"/>
      <c r="M60" s="28"/>
      <c r="N60" s="28"/>
      <c r="O60" s="28"/>
      <c r="P60" s="28" t="s">
        <v>174</v>
      </c>
      <c r="Q60" s="28" t="s">
        <v>174</v>
      </c>
      <c r="R60" s="29"/>
      <c r="S60" s="29" t="s">
        <v>313</v>
      </c>
    </row>
    <row r="61" ht="15.0" customHeight="1">
      <c r="A61" s="30" t="s">
        <v>493</v>
      </c>
      <c r="B61" s="30" t="s">
        <v>595</v>
      </c>
      <c r="C61" s="30" t="s">
        <v>596</v>
      </c>
      <c r="D61" s="30" t="s">
        <v>603</v>
      </c>
      <c r="E61" s="30" t="s">
        <v>604</v>
      </c>
      <c r="F61" s="30" t="s">
        <v>604</v>
      </c>
      <c r="G61" s="30" t="s">
        <v>605</v>
      </c>
      <c r="H61" s="31" t="s">
        <v>606</v>
      </c>
      <c r="I61" s="30" t="s">
        <v>605</v>
      </c>
      <c r="J61" s="32"/>
      <c r="K61" s="32"/>
      <c r="L61" s="32"/>
      <c r="M61" s="32"/>
      <c r="N61" s="32"/>
      <c r="O61" s="32"/>
      <c r="P61" s="32" t="s">
        <v>174</v>
      </c>
      <c r="Q61" s="32" t="s">
        <v>174</v>
      </c>
      <c r="R61" s="33"/>
      <c r="S61" s="33" t="s">
        <v>313</v>
      </c>
    </row>
    <row r="62" ht="15.0" customHeight="1">
      <c r="A62" s="26" t="s">
        <v>493</v>
      </c>
      <c r="B62" s="26" t="s">
        <v>494</v>
      </c>
      <c r="C62" s="26" t="s">
        <v>516</v>
      </c>
      <c r="D62" s="26" t="s">
        <v>612</v>
      </c>
      <c r="E62" s="26" t="s">
        <v>612</v>
      </c>
      <c r="F62" s="26" t="s">
        <v>612</v>
      </c>
      <c r="G62" s="26" t="s">
        <v>612</v>
      </c>
      <c r="H62" s="27" t="s">
        <v>615</v>
      </c>
      <c r="I62" s="26" t="s">
        <v>612</v>
      </c>
      <c r="J62" s="28"/>
      <c r="K62" s="28"/>
      <c r="L62" s="28"/>
      <c r="M62" s="28"/>
      <c r="N62" s="28"/>
      <c r="O62" s="28"/>
      <c r="P62" s="28" t="s">
        <v>174</v>
      </c>
      <c r="Q62" s="28" t="s">
        <v>174</v>
      </c>
      <c r="R62" s="29"/>
      <c r="S62" s="29" t="s">
        <v>313</v>
      </c>
    </row>
    <row r="63" ht="15.0" customHeight="1">
      <c r="A63" s="33" t="s">
        <v>493</v>
      </c>
      <c r="B63" s="33" t="s">
        <v>494</v>
      </c>
      <c r="C63" s="33" t="s">
        <v>516</v>
      </c>
      <c r="D63" s="33" t="s">
        <v>618</v>
      </c>
      <c r="E63" s="33" t="s">
        <v>618</v>
      </c>
      <c r="F63" s="33" t="s">
        <v>618</v>
      </c>
      <c r="G63" s="33" t="s">
        <v>619</v>
      </c>
      <c r="H63" s="48" t="s">
        <v>620</v>
      </c>
      <c r="I63" s="33" t="s">
        <v>619</v>
      </c>
      <c r="J63" s="32"/>
      <c r="K63" s="32"/>
      <c r="L63" s="32"/>
      <c r="M63" s="32"/>
      <c r="N63" s="32"/>
      <c r="O63" s="32"/>
      <c r="P63" s="32" t="s">
        <v>174</v>
      </c>
      <c r="Q63" s="32" t="s">
        <v>174</v>
      </c>
      <c r="R63" s="33"/>
      <c r="S63" s="33" t="s">
        <v>313</v>
      </c>
    </row>
    <row r="64" ht="24.0" customHeight="1">
      <c r="A64" s="29" t="s">
        <v>493</v>
      </c>
      <c r="B64" s="29" t="s">
        <v>494</v>
      </c>
      <c r="C64" s="29" t="s">
        <v>554</v>
      </c>
      <c r="D64" s="29" t="s">
        <v>555</v>
      </c>
      <c r="E64" s="29" t="s">
        <v>555</v>
      </c>
      <c r="F64" s="29" t="s">
        <v>555</v>
      </c>
      <c r="G64" s="29" t="s">
        <v>557</v>
      </c>
      <c r="H64" s="49" t="s">
        <v>627</v>
      </c>
      <c r="I64" s="29" t="s">
        <v>557</v>
      </c>
      <c r="J64" s="28"/>
      <c r="K64" s="28"/>
      <c r="L64" s="28"/>
      <c r="M64" s="28"/>
      <c r="N64" s="28"/>
      <c r="O64" s="28"/>
      <c r="P64" s="28" t="s">
        <v>174</v>
      </c>
      <c r="Q64" s="28" t="s">
        <v>174</v>
      </c>
      <c r="R64" s="29"/>
      <c r="S64" s="29" t="s">
        <v>345</v>
      </c>
    </row>
    <row r="65" ht="24.0" customHeight="1">
      <c r="A65" s="33" t="s">
        <v>493</v>
      </c>
      <c r="B65" s="33" t="s">
        <v>494</v>
      </c>
      <c r="C65" s="33" t="s">
        <v>618</v>
      </c>
      <c r="D65" s="33" t="s">
        <v>630</v>
      </c>
      <c r="E65" s="33" t="s">
        <v>630</v>
      </c>
      <c r="F65" s="33" t="s">
        <v>630</v>
      </c>
      <c r="G65" s="33" t="s">
        <v>630</v>
      </c>
      <c r="H65" s="48" t="s">
        <v>631</v>
      </c>
      <c r="I65" s="33" t="s">
        <v>630</v>
      </c>
      <c r="J65" s="32"/>
      <c r="K65" s="32"/>
      <c r="L65" s="32"/>
      <c r="M65" s="32"/>
      <c r="N65" s="32"/>
      <c r="O65" s="32"/>
      <c r="P65" s="32" t="s">
        <v>174</v>
      </c>
      <c r="Q65" s="32" t="s">
        <v>174</v>
      </c>
      <c r="R65" s="33"/>
      <c r="S65" s="33" t="s">
        <v>345</v>
      </c>
    </row>
    <row r="66" ht="24.0" customHeight="1">
      <c r="A66" s="29" t="s">
        <v>493</v>
      </c>
      <c r="B66" s="29" t="s">
        <v>149</v>
      </c>
      <c r="C66" s="29" t="s">
        <v>255</v>
      </c>
      <c r="D66" s="29" t="s">
        <v>633</v>
      </c>
      <c r="E66" s="29" t="s">
        <v>633</v>
      </c>
      <c r="F66" s="29" t="s">
        <v>633</v>
      </c>
      <c r="G66" s="29" t="s">
        <v>633</v>
      </c>
      <c r="H66" s="49" t="s">
        <v>634</v>
      </c>
      <c r="I66" s="29" t="s">
        <v>633</v>
      </c>
      <c r="J66" s="28"/>
      <c r="K66" s="28"/>
      <c r="L66" s="28"/>
      <c r="M66" s="28"/>
      <c r="N66" s="28"/>
      <c r="O66" s="28"/>
      <c r="P66" s="28" t="s">
        <v>174</v>
      </c>
      <c r="Q66" s="28" t="s">
        <v>174</v>
      </c>
      <c r="R66" s="29"/>
      <c r="S66" s="29" t="s">
        <v>345</v>
      </c>
    </row>
    <row r="67" ht="15.0" customHeight="1">
      <c r="A67" s="33" t="s">
        <v>493</v>
      </c>
      <c r="B67" s="33" t="s">
        <v>494</v>
      </c>
      <c r="C67" s="33" t="s">
        <v>495</v>
      </c>
      <c r="D67" s="33" t="s">
        <v>637</v>
      </c>
      <c r="E67" s="33" t="s">
        <v>637</v>
      </c>
      <c r="F67" s="33" t="s">
        <v>637</v>
      </c>
      <c r="G67" s="33" t="s">
        <v>637</v>
      </c>
      <c r="H67" s="48" t="s">
        <v>639</v>
      </c>
      <c r="I67" s="33" t="s">
        <v>637</v>
      </c>
      <c r="J67" s="32"/>
      <c r="K67" s="32"/>
      <c r="L67" s="32"/>
      <c r="M67" s="32"/>
      <c r="N67" s="32"/>
      <c r="O67" s="32"/>
      <c r="P67" s="32" t="s">
        <v>174</v>
      </c>
      <c r="Q67" s="32" t="s">
        <v>174</v>
      </c>
      <c r="R67" s="33"/>
      <c r="S67" s="33" t="s">
        <v>177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5.0"/>
    <col customWidth="1" min="3" max="3" width="55.0"/>
    <col customWidth="1" min="4" max="4" width="19.0"/>
    <col customWidth="1" min="5" max="7" width="17.0"/>
  </cols>
  <sheetData>
    <row r="1" ht="30.0" customHeight="1">
      <c r="A1" s="1" t="s">
        <v>3</v>
      </c>
    </row>
    <row r="2">
      <c r="A2" s="4" t="s">
        <v>9</v>
      </c>
      <c r="B2" s="2" t="s">
        <v>5</v>
      </c>
      <c r="C2" s="2"/>
      <c r="D2" s="2"/>
      <c r="E2" s="2"/>
      <c r="F2" s="4" t="s">
        <v>13</v>
      </c>
      <c r="G2" s="5">
        <v>3250000.0</v>
      </c>
    </row>
    <row r="3">
      <c r="A3" s="4" t="s">
        <v>14</v>
      </c>
      <c r="B3" s="2" t="s">
        <v>15</v>
      </c>
      <c r="C3" s="2"/>
      <c r="D3" s="2"/>
      <c r="E3" s="2"/>
      <c r="F3" s="4" t="s">
        <v>17</v>
      </c>
      <c r="G3" s="5">
        <f>SUM(E8:E41)</f>
        <v>3437724</v>
      </c>
    </row>
    <row r="4">
      <c r="A4" s="4" t="s">
        <v>23</v>
      </c>
      <c r="B4" s="2" t="s">
        <v>11</v>
      </c>
      <c r="C4" s="2"/>
      <c r="D4" s="2"/>
      <c r="E4" s="2"/>
      <c r="F4" s="4" t="s">
        <v>24</v>
      </c>
      <c r="G4" s="5">
        <f>SUM(F8:F41)</f>
        <v>4185650</v>
      </c>
    </row>
    <row r="5">
      <c r="A5" s="4" t="s">
        <v>7</v>
      </c>
      <c r="B5" s="2" t="s">
        <v>8</v>
      </c>
      <c r="C5" s="2"/>
      <c r="D5" s="2"/>
      <c r="E5" s="2"/>
      <c r="F5" s="4" t="s">
        <v>30</v>
      </c>
      <c r="G5" s="5">
        <f>G2-G3+G4</f>
        <v>3997926</v>
      </c>
    </row>
    <row r="6">
      <c r="A6" s="2"/>
      <c r="B6" s="2"/>
      <c r="C6" s="2"/>
      <c r="D6" s="2"/>
      <c r="E6" s="2"/>
      <c r="F6" s="2"/>
      <c r="G6" s="2"/>
    </row>
    <row r="7">
      <c r="A7" s="11" t="s">
        <v>36</v>
      </c>
      <c r="B7" s="11" t="s">
        <v>40</v>
      </c>
      <c r="C7" s="11" t="s">
        <v>41</v>
      </c>
      <c r="D7" s="11" t="s">
        <v>43</v>
      </c>
      <c r="E7" s="11" t="s">
        <v>45</v>
      </c>
      <c r="F7" s="11" t="s">
        <v>46</v>
      </c>
      <c r="G7" s="11" t="s">
        <v>47</v>
      </c>
    </row>
    <row r="8">
      <c r="A8" s="12">
        <v>45839.0</v>
      </c>
      <c r="B8" s="12">
        <v>45839.0</v>
      </c>
      <c r="C8" s="14" t="s">
        <v>51</v>
      </c>
      <c r="D8" s="14" t="s">
        <v>54</v>
      </c>
      <c r="E8" s="16"/>
      <c r="F8" s="16">
        <v>685000.0</v>
      </c>
      <c r="G8" s="16">
        <f>$G$2-E8+F8</f>
        <v>3935000</v>
      </c>
    </row>
    <row r="9">
      <c r="A9" s="12">
        <v>45839.0</v>
      </c>
      <c r="B9" s="12">
        <v>45839.0</v>
      </c>
      <c r="C9" s="14" t="s">
        <v>66</v>
      </c>
      <c r="D9" s="14" t="s">
        <v>67</v>
      </c>
      <c r="E9" s="16">
        <v>275000.0</v>
      </c>
      <c r="F9" s="16"/>
      <c r="G9" s="16">
        <f t="shared" ref="G9:G41" si="1">G8-E9+F9</f>
        <v>3660000</v>
      </c>
    </row>
    <row r="10">
      <c r="A10" s="12">
        <v>45840.0</v>
      </c>
      <c r="B10" s="12">
        <v>45840.0</v>
      </c>
      <c r="C10" s="14" t="s">
        <v>74</v>
      </c>
      <c r="D10" s="14" t="s">
        <v>76</v>
      </c>
      <c r="E10" s="16"/>
      <c r="F10" s="16">
        <v>412500.0</v>
      </c>
      <c r="G10" s="16">
        <f t="shared" si="1"/>
        <v>4072500</v>
      </c>
    </row>
    <row r="11">
      <c r="A11" s="12">
        <v>45840.0</v>
      </c>
      <c r="B11" s="12">
        <v>45840.0</v>
      </c>
      <c r="C11" s="14" t="s">
        <v>81</v>
      </c>
      <c r="D11" s="14" t="s">
        <v>83</v>
      </c>
      <c r="E11" s="16">
        <v>18450.0</v>
      </c>
      <c r="F11" s="16"/>
      <c r="G11" s="16">
        <f t="shared" si="1"/>
        <v>4054050</v>
      </c>
    </row>
    <row r="12">
      <c r="A12" s="12">
        <v>45841.0</v>
      </c>
      <c r="B12" s="12">
        <v>45841.0</v>
      </c>
      <c r="C12" s="14" t="s">
        <v>84</v>
      </c>
      <c r="D12" s="14" t="s">
        <v>85</v>
      </c>
      <c r="E12" s="16">
        <v>335000.0</v>
      </c>
      <c r="F12" s="16"/>
      <c r="G12" s="16">
        <f t="shared" si="1"/>
        <v>3719050</v>
      </c>
    </row>
    <row r="13">
      <c r="A13" s="12">
        <v>45841.0</v>
      </c>
      <c r="B13" s="12">
        <v>45841.0</v>
      </c>
      <c r="C13" s="14" t="s">
        <v>86</v>
      </c>
      <c r="D13" s="14" t="s">
        <v>89</v>
      </c>
      <c r="E13" s="16">
        <v>3350.0</v>
      </c>
      <c r="F13" s="16"/>
      <c r="G13" s="16">
        <f t="shared" si="1"/>
        <v>3715700</v>
      </c>
    </row>
    <row r="14">
      <c r="A14" s="12">
        <v>45842.0</v>
      </c>
      <c r="B14" s="12">
        <v>45842.0</v>
      </c>
      <c r="C14" s="14" t="s">
        <v>93</v>
      </c>
      <c r="D14" s="14" t="s">
        <v>94</v>
      </c>
      <c r="E14" s="16"/>
      <c r="F14" s="16">
        <v>298750.0</v>
      </c>
      <c r="G14" s="16">
        <f t="shared" si="1"/>
        <v>4014450</v>
      </c>
    </row>
    <row r="15">
      <c r="A15" s="12">
        <v>45842.0</v>
      </c>
      <c r="B15" s="12">
        <v>45842.0</v>
      </c>
      <c r="C15" s="14" t="s">
        <v>97</v>
      </c>
      <c r="D15" s="14" t="s">
        <v>98</v>
      </c>
      <c r="E15" s="16">
        <v>42800.0</v>
      </c>
      <c r="F15" s="16"/>
      <c r="G15" s="16">
        <f t="shared" si="1"/>
        <v>3971650</v>
      </c>
    </row>
    <row r="16">
      <c r="A16" s="12">
        <v>45843.0</v>
      </c>
      <c r="B16" s="12">
        <v>45843.0</v>
      </c>
      <c r="C16" s="14" t="s">
        <v>101</v>
      </c>
      <c r="D16" s="14" t="s">
        <v>102</v>
      </c>
      <c r="E16" s="16">
        <v>50000.0</v>
      </c>
      <c r="F16" s="16"/>
      <c r="G16" s="16">
        <f t="shared" si="1"/>
        <v>3921650</v>
      </c>
    </row>
    <row r="17">
      <c r="A17" s="12">
        <v>45845.0</v>
      </c>
      <c r="B17" s="12">
        <v>45845.0</v>
      </c>
      <c r="C17" s="14" t="s">
        <v>103</v>
      </c>
      <c r="D17" s="14" t="s">
        <v>104</v>
      </c>
      <c r="E17" s="16">
        <v>850000.0</v>
      </c>
      <c r="F17" s="16"/>
      <c r="G17" s="16">
        <f t="shared" si="1"/>
        <v>3071650</v>
      </c>
    </row>
    <row r="18">
      <c r="A18" s="12">
        <v>45846.0</v>
      </c>
      <c r="B18" s="12">
        <v>45846.0</v>
      </c>
      <c r="C18" s="14" t="s">
        <v>112</v>
      </c>
      <c r="D18" s="14" t="s">
        <v>114</v>
      </c>
      <c r="E18" s="16"/>
      <c r="F18" s="16">
        <v>175000.0</v>
      </c>
      <c r="G18" s="16">
        <f t="shared" si="1"/>
        <v>3246650</v>
      </c>
    </row>
    <row r="19">
      <c r="A19" s="12">
        <v>45846.0</v>
      </c>
      <c r="B19" s="12">
        <v>45846.0</v>
      </c>
      <c r="C19" s="14" t="s">
        <v>118</v>
      </c>
      <c r="D19" s="14" t="s">
        <v>120</v>
      </c>
      <c r="E19" s="16">
        <v>96750.0</v>
      </c>
      <c r="F19" s="16"/>
      <c r="G19" s="16">
        <f t="shared" si="1"/>
        <v>3149900</v>
      </c>
    </row>
    <row r="20">
      <c r="A20" s="12">
        <v>45847.0</v>
      </c>
      <c r="B20" s="12">
        <v>45847.0</v>
      </c>
      <c r="C20" s="14" t="s">
        <v>124</v>
      </c>
      <c r="D20" s="14" t="s">
        <v>126</v>
      </c>
      <c r="E20" s="16">
        <v>36500.0</v>
      </c>
      <c r="F20" s="16"/>
      <c r="G20" s="16">
        <f t="shared" si="1"/>
        <v>3113400</v>
      </c>
    </row>
    <row r="21" ht="15.75" customHeight="1">
      <c r="A21" s="12">
        <v>45847.0</v>
      </c>
      <c r="B21" s="12">
        <v>45847.0</v>
      </c>
      <c r="C21" s="14" t="s">
        <v>129</v>
      </c>
      <c r="D21" s="14" t="s">
        <v>131</v>
      </c>
      <c r="E21" s="16">
        <v>1095.0</v>
      </c>
      <c r="F21" s="16"/>
      <c r="G21" s="16">
        <f t="shared" si="1"/>
        <v>3112305</v>
      </c>
    </row>
    <row r="22" ht="15.75" customHeight="1">
      <c r="A22" s="12">
        <v>45848.0</v>
      </c>
      <c r="B22" s="12">
        <v>45848.0</v>
      </c>
      <c r="C22" s="14" t="s">
        <v>136</v>
      </c>
      <c r="D22" s="14" t="s">
        <v>137</v>
      </c>
      <c r="E22" s="16"/>
      <c r="F22" s="16">
        <v>224000.0</v>
      </c>
      <c r="G22" s="16">
        <f t="shared" si="1"/>
        <v>3336305</v>
      </c>
    </row>
    <row r="23" ht="15.75" customHeight="1">
      <c r="A23" s="12">
        <v>45849.0</v>
      </c>
      <c r="B23" s="12">
        <v>45849.0</v>
      </c>
      <c r="C23" s="14" t="s">
        <v>142</v>
      </c>
      <c r="D23" s="14" t="s">
        <v>144</v>
      </c>
      <c r="E23" s="16">
        <v>200000.0</v>
      </c>
      <c r="F23" s="16"/>
      <c r="G23" s="16">
        <f t="shared" si="1"/>
        <v>3136305</v>
      </c>
    </row>
    <row r="24" ht="15.75" customHeight="1">
      <c r="A24" s="12">
        <v>45850.0</v>
      </c>
      <c r="B24" s="12">
        <v>45850.0</v>
      </c>
      <c r="C24" s="14" t="s">
        <v>146</v>
      </c>
      <c r="D24" s="14" t="s">
        <v>147</v>
      </c>
      <c r="E24" s="16"/>
      <c r="F24" s="16">
        <v>742500.0</v>
      </c>
      <c r="G24" s="16">
        <f t="shared" si="1"/>
        <v>3878805</v>
      </c>
    </row>
    <row r="25" ht="15.75" customHeight="1">
      <c r="A25" s="12">
        <v>45852.0</v>
      </c>
      <c r="B25" s="12">
        <v>45852.0</v>
      </c>
      <c r="C25" s="14" t="s">
        <v>152</v>
      </c>
      <c r="D25" s="14" t="s">
        <v>153</v>
      </c>
      <c r="E25" s="16">
        <v>386200.0</v>
      </c>
      <c r="F25" s="16"/>
      <c r="G25" s="16">
        <f t="shared" si="1"/>
        <v>3492605</v>
      </c>
    </row>
    <row r="26" ht="15.75" customHeight="1">
      <c r="A26" s="12">
        <v>45853.0</v>
      </c>
      <c r="B26" s="12">
        <v>45853.0</v>
      </c>
      <c r="C26" s="14" t="s">
        <v>156</v>
      </c>
      <c r="D26" s="14" t="s">
        <v>157</v>
      </c>
      <c r="E26" s="16">
        <v>2500.0</v>
      </c>
      <c r="F26" s="16"/>
      <c r="G26" s="16">
        <f t="shared" si="1"/>
        <v>3490105</v>
      </c>
    </row>
    <row r="27" ht="15.75" customHeight="1">
      <c r="A27" s="12">
        <v>45853.0</v>
      </c>
      <c r="B27" s="12">
        <v>45853.0</v>
      </c>
      <c r="C27" s="14" t="s">
        <v>161</v>
      </c>
      <c r="D27" s="14" t="s">
        <v>163</v>
      </c>
      <c r="E27" s="16">
        <v>400.0</v>
      </c>
      <c r="F27" s="16"/>
      <c r="G27" s="16">
        <f t="shared" si="1"/>
        <v>3489705</v>
      </c>
    </row>
    <row r="28" ht="15.75" customHeight="1">
      <c r="A28" s="12">
        <v>45854.0</v>
      </c>
      <c r="B28" s="12">
        <v>45854.0</v>
      </c>
      <c r="C28" s="14" t="s">
        <v>164</v>
      </c>
      <c r="D28" s="14" t="s">
        <v>165</v>
      </c>
      <c r="E28" s="16"/>
      <c r="F28" s="16">
        <v>455000.0</v>
      </c>
      <c r="G28" s="16">
        <f t="shared" si="1"/>
        <v>3944705</v>
      </c>
    </row>
    <row r="29" ht="15.75" customHeight="1">
      <c r="A29" s="12">
        <v>45855.0</v>
      </c>
      <c r="B29" s="12">
        <v>45855.0</v>
      </c>
      <c r="C29" s="14" t="s">
        <v>168</v>
      </c>
      <c r="D29" s="14" t="s">
        <v>169</v>
      </c>
      <c r="E29" s="16">
        <v>58750.0</v>
      </c>
      <c r="F29" s="16"/>
      <c r="G29" s="16">
        <f t="shared" si="1"/>
        <v>3885955</v>
      </c>
    </row>
    <row r="30" ht="15.75" customHeight="1">
      <c r="A30" s="12">
        <v>45856.0</v>
      </c>
      <c r="B30" s="12">
        <v>45856.0</v>
      </c>
      <c r="C30" s="14" t="s">
        <v>171</v>
      </c>
      <c r="D30" s="14" t="s">
        <v>172</v>
      </c>
      <c r="E30" s="16">
        <v>148600.0</v>
      </c>
      <c r="F30" s="16"/>
      <c r="G30" s="16">
        <f t="shared" si="1"/>
        <v>3737355</v>
      </c>
    </row>
    <row r="31" ht="15.75" customHeight="1">
      <c r="A31" s="12">
        <v>45857.0</v>
      </c>
      <c r="B31" s="12">
        <v>45857.0</v>
      </c>
      <c r="C31" s="14" t="s">
        <v>175</v>
      </c>
      <c r="D31" s="14" t="s">
        <v>176</v>
      </c>
      <c r="E31" s="16"/>
      <c r="F31" s="16">
        <v>520000.0</v>
      </c>
      <c r="G31" s="16">
        <f t="shared" si="1"/>
        <v>4257355</v>
      </c>
    </row>
    <row r="32" ht="15.75" customHeight="1">
      <c r="A32" s="12">
        <v>45859.0</v>
      </c>
      <c r="B32" s="12">
        <v>45859.0</v>
      </c>
      <c r="C32" s="14" t="s">
        <v>103</v>
      </c>
      <c r="D32" s="14" t="s">
        <v>180</v>
      </c>
      <c r="E32" s="16">
        <v>550000.0</v>
      </c>
      <c r="F32" s="16"/>
      <c r="G32" s="16">
        <f t="shared" si="1"/>
        <v>3707355</v>
      </c>
    </row>
    <row r="33" ht="15.75" customHeight="1">
      <c r="A33" s="12">
        <v>45860.0</v>
      </c>
      <c r="B33" s="12">
        <v>45860.0</v>
      </c>
      <c r="C33" s="14" t="s">
        <v>181</v>
      </c>
      <c r="D33" s="14" t="s">
        <v>182</v>
      </c>
      <c r="E33" s="16">
        <v>180000.0</v>
      </c>
      <c r="F33" s="16"/>
      <c r="G33" s="16">
        <f t="shared" si="1"/>
        <v>3527355</v>
      </c>
    </row>
    <row r="34" ht="15.75" customHeight="1">
      <c r="A34" s="12">
        <v>45861.0</v>
      </c>
      <c r="B34" s="12">
        <v>45861.0</v>
      </c>
      <c r="C34" s="14" t="s">
        <v>185</v>
      </c>
      <c r="D34" s="14" t="s">
        <v>186</v>
      </c>
      <c r="E34" s="16"/>
      <c r="F34" s="16">
        <v>389450.0</v>
      </c>
      <c r="G34" s="16">
        <f t="shared" si="1"/>
        <v>3916805</v>
      </c>
    </row>
    <row r="35" ht="15.75" customHeight="1">
      <c r="A35" s="12">
        <v>45862.0</v>
      </c>
      <c r="B35" s="12">
        <v>45862.0</v>
      </c>
      <c r="C35" s="14" t="s">
        <v>190</v>
      </c>
      <c r="D35" s="14" t="s">
        <v>191</v>
      </c>
      <c r="E35" s="16">
        <v>72600.0</v>
      </c>
      <c r="F35" s="16"/>
      <c r="G35" s="16">
        <f t="shared" si="1"/>
        <v>3844205</v>
      </c>
    </row>
    <row r="36" ht="15.75" customHeight="1">
      <c r="A36" s="12">
        <v>45863.0</v>
      </c>
      <c r="B36" s="12">
        <v>45863.0</v>
      </c>
      <c r="C36" s="14" t="s">
        <v>193</v>
      </c>
      <c r="D36" s="14" t="s">
        <v>194</v>
      </c>
      <c r="E36" s="16">
        <v>1500.0</v>
      </c>
      <c r="F36" s="16"/>
      <c r="G36" s="16">
        <f t="shared" si="1"/>
        <v>3842705</v>
      </c>
    </row>
    <row r="37" ht="15.75" customHeight="1">
      <c r="A37" s="12">
        <v>45866.0</v>
      </c>
      <c r="B37" s="12">
        <v>45866.0</v>
      </c>
      <c r="C37" s="14" t="s">
        <v>195</v>
      </c>
      <c r="D37" s="14" t="s">
        <v>196</v>
      </c>
      <c r="E37" s="16"/>
      <c r="F37" s="16">
        <v>265000.0</v>
      </c>
      <c r="G37" s="16">
        <f t="shared" si="1"/>
        <v>4107705</v>
      </c>
    </row>
    <row r="38" ht="15.75" customHeight="1">
      <c r="A38" s="12">
        <v>45867.0</v>
      </c>
      <c r="B38" s="12">
        <v>45867.0</v>
      </c>
      <c r="C38" s="14" t="s">
        <v>199</v>
      </c>
      <c r="D38" s="14" t="s">
        <v>200</v>
      </c>
      <c r="E38" s="16">
        <v>125000.0</v>
      </c>
      <c r="F38" s="16"/>
      <c r="G38" s="16">
        <f t="shared" si="1"/>
        <v>3982705</v>
      </c>
    </row>
    <row r="39" ht="15.75" customHeight="1">
      <c r="A39" s="12">
        <v>45868.0</v>
      </c>
      <c r="B39" s="12">
        <v>45868.0</v>
      </c>
      <c r="C39" s="14" t="s">
        <v>201</v>
      </c>
      <c r="D39" s="14" t="s">
        <v>202</v>
      </c>
      <c r="E39" s="16"/>
      <c r="F39" s="16">
        <v>18450.0</v>
      </c>
      <c r="G39" s="16">
        <f t="shared" si="1"/>
        <v>4001155</v>
      </c>
    </row>
    <row r="40" ht="15.75" customHeight="1">
      <c r="A40" s="12">
        <v>45869.0</v>
      </c>
      <c r="B40" s="12">
        <v>45869.0</v>
      </c>
      <c r="C40" s="14" t="s">
        <v>204</v>
      </c>
      <c r="D40" s="14" t="s">
        <v>205</v>
      </c>
      <c r="E40" s="16">
        <v>461.0</v>
      </c>
      <c r="F40" s="16"/>
      <c r="G40" s="16">
        <f t="shared" si="1"/>
        <v>4000694</v>
      </c>
    </row>
    <row r="41" ht="15.75" customHeight="1">
      <c r="A41" s="12">
        <v>45869.0</v>
      </c>
      <c r="B41" s="12">
        <v>45869.0</v>
      </c>
      <c r="C41" s="14" t="s">
        <v>209</v>
      </c>
      <c r="D41" s="14" t="s">
        <v>210</v>
      </c>
      <c r="E41" s="16">
        <v>2768.0</v>
      </c>
      <c r="F41" s="16"/>
      <c r="G41" s="16">
        <f t="shared" si="1"/>
        <v>3997926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5.0"/>
    <col customWidth="1" min="3" max="3" width="55.0"/>
    <col customWidth="1" min="4" max="4" width="19.0"/>
    <col customWidth="1" min="5" max="7" width="17.0"/>
  </cols>
  <sheetData>
    <row r="1" ht="30.0" customHeight="1">
      <c r="A1" s="1" t="s">
        <v>6</v>
      </c>
    </row>
    <row r="2">
      <c r="A2" s="4" t="s">
        <v>9</v>
      </c>
      <c r="B2" s="2" t="s">
        <v>5</v>
      </c>
      <c r="C2" s="2"/>
      <c r="D2" s="2"/>
      <c r="E2" s="2"/>
      <c r="F2" s="4" t="s">
        <v>13</v>
      </c>
      <c r="G2" s="5">
        <v>480000.0</v>
      </c>
    </row>
    <row r="3">
      <c r="A3" s="4" t="s">
        <v>14</v>
      </c>
      <c r="B3" s="2" t="s">
        <v>16</v>
      </c>
      <c r="C3" s="2"/>
      <c r="D3" s="2"/>
      <c r="E3" s="2"/>
      <c r="F3" s="4" t="s">
        <v>17</v>
      </c>
      <c r="G3" s="5">
        <f>SUM(E8:E32)</f>
        <v>1875588</v>
      </c>
    </row>
    <row r="4">
      <c r="A4" s="4" t="s">
        <v>23</v>
      </c>
      <c r="B4" s="2" t="s">
        <v>11</v>
      </c>
      <c r="C4" s="2"/>
      <c r="D4" s="2"/>
      <c r="E4" s="2"/>
      <c r="F4" s="4" t="s">
        <v>24</v>
      </c>
      <c r="G4" s="5">
        <f>SUM(F8:F32)</f>
        <v>1454500</v>
      </c>
    </row>
    <row r="5">
      <c r="A5" s="4" t="s">
        <v>7</v>
      </c>
      <c r="B5" s="2" t="s">
        <v>8</v>
      </c>
      <c r="C5" s="2"/>
      <c r="D5" s="2"/>
      <c r="E5" s="2"/>
      <c r="F5" s="4" t="s">
        <v>30</v>
      </c>
      <c r="G5" s="5">
        <f>G2-G3+G4</f>
        <v>58912</v>
      </c>
    </row>
    <row r="6">
      <c r="A6" s="2"/>
      <c r="B6" s="2"/>
      <c r="C6" s="2"/>
      <c r="D6" s="2"/>
      <c r="E6" s="2"/>
      <c r="F6" s="2"/>
      <c r="G6" s="2"/>
    </row>
    <row r="7">
      <c r="A7" s="11" t="s">
        <v>36</v>
      </c>
      <c r="B7" s="11" t="s">
        <v>40</v>
      </c>
      <c r="C7" s="11" t="s">
        <v>41</v>
      </c>
      <c r="D7" s="11" t="s">
        <v>43</v>
      </c>
      <c r="E7" s="11" t="s">
        <v>45</v>
      </c>
      <c r="F7" s="11" t="s">
        <v>46</v>
      </c>
      <c r="G7" s="11" t="s">
        <v>47</v>
      </c>
    </row>
    <row r="8">
      <c r="A8" s="12">
        <v>45839.0</v>
      </c>
      <c r="B8" s="12">
        <v>45839.0</v>
      </c>
      <c r="C8" s="14" t="s">
        <v>75</v>
      </c>
      <c r="D8" s="14" t="s">
        <v>77</v>
      </c>
      <c r="E8" s="16"/>
      <c r="F8" s="16">
        <v>25000.0</v>
      </c>
      <c r="G8" s="16">
        <f>$G$2-E8+F8</f>
        <v>505000</v>
      </c>
    </row>
    <row r="9">
      <c r="A9" s="12">
        <v>45840.0</v>
      </c>
      <c r="B9" s="12">
        <v>45840.0</v>
      </c>
      <c r="C9" s="14" t="s">
        <v>88</v>
      </c>
      <c r="D9" s="14" t="s">
        <v>90</v>
      </c>
      <c r="E9" s="16">
        <v>18500.0</v>
      </c>
      <c r="F9" s="16"/>
      <c r="G9" s="16">
        <f t="shared" ref="G9:G32" si="1">G8-E9+F9</f>
        <v>486500</v>
      </c>
    </row>
    <row r="10">
      <c r="A10" s="12">
        <v>45841.0</v>
      </c>
      <c r="B10" s="12">
        <v>45841.0</v>
      </c>
      <c r="C10" s="14" t="s">
        <v>99</v>
      </c>
      <c r="D10" s="14" t="s">
        <v>100</v>
      </c>
      <c r="E10" s="16">
        <v>96500.0</v>
      </c>
      <c r="F10" s="16"/>
      <c r="G10" s="16">
        <f t="shared" si="1"/>
        <v>390000</v>
      </c>
    </row>
    <row r="11">
      <c r="A11" s="12">
        <v>45842.0</v>
      </c>
      <c r="B11" s="12">
        <v>45842.0</v>
      </c>
      <c r="C11" s="14" t="s">
        <v>106</v>
      </c>
      <c r="D11" s="14" t="s">
        <v>107</v>
      </c>
      <c r="E11" s="16">
        <v>68400.0</v>
      </c>
      <c r="F11" s="16"/>
      <c r="G11" s="16">
        <f t="shared" si="1"/>
        <v>321600</v>
      </c>
    </row>
    <row r="12">
      <c r="A12" s="12">
        <v>45843.0</v>
      </c>
      <c r="B12" s="12">
        <v>45843.0</v>
      </c>
      <c r="C12" s="14" t="s">
        <v>111</v>
      </c>
      <c r="D12" s="14" t="s">
        <v>115</v>
      </c>
      <c r="E12" s="16">
        <v>42750.0</v>
      </c>
      <c r="F12" s="16"/>
      <c r="G12" s="16">
        <f t="shared" si="1"/>
        <v>278850</v>
      </c>
    </row>
    <row r="13">
      <c r="A13" s="12">
        <v>45845.0</v>
      </c>
      <c r="B13" s="12">
        <v>45845.0</v>
      </c>
      <c r="C13" s="14" t="s">
        <v>122</v>
      </c>
      <c r="D13" s="14" t="s">
        <v>123</v>
      </c>
      <c r="E13" s="16"/>
      <c r="F13" s="16">
        <v>850000.0</v>
      </c>
      <c r="G13" s="16">
        <f t="shared" si="1"/>
        <v>1128850</v>
      </c>
    </row>
    <row r="14">
      <c r="A14" s="12">
        <v>45845.0</v>
      </c>
      <c r="B14" s="12">
        <v>45845.0</v>
      </c>
      <c r="C14" s="14" t="s">
        <v>130</v>
      </c>
      <c r="D14" s="14" t="s">
        <v>133</v>
      </c>
      <c r="E14" s="16">
        <v>625000.0</v>
      </c>
      <c r="F14" s="16"/>
      <c r="G14" s="16">
        <f t="shared" si="1"/>
        <v>503850</v>
      </c>
    </row>
    <row r="15">
      <c r="A15" s="12">
        <v>45845.0</v>
      </c>
      <c r="B15" s="12">
        <v>45845.0</v>
      </c>
      <c r="C15" s="14" t="s">
        <v>140</v>
      </c>
      <c r="D15" s="14" t="s">
        <v>141</v>
      </c>
      <c r="E15" s="16">
        <v>3750.0</v>
      </c>
      <c r="F15" s="16"/>
      <c r="G15" s="16">
        <f t="shared" si="1"/>
        <v>500100</v>
      </c>
    </row>
    <row r="16">
      <c r="A16" s="12">
        <v>45845.0</v>
      </c>
      <c r="B16" s="12">
        <v>45845.0</v>
      </c>
      <c r="C16" s="14" t="s">
        <v>148</v>
      </c>
      <c r="D16" s="14" t="s">
        <v>150</v>
      </c>
      <c r="E16" s="16">
        <v>600.0</v>
      </c>
      <c r="F16" s="16"/>
      <c r="G16" s="16">
        <f t="shared" si="1"/>
        <v>499500</v>
      </c>
    </row>
    <row r="17">
      <c r="A17" s="12">
        <v>45846.0</v>
      </c>
      <c r="B17" s="12">
        <v>45846.0</v>
      </c>
      <c r="C17" s="14" t="s">
        <v>160</v>
      </c>
      <c r="D17" s="14" t="s">
        <v>162</v>
      </c>
      <c r="E17" s="16">
        <v>30000.0</v>
      </c>
      <c r="F17" s="16"/>
      <c r="G17" s="16">
        <f t="shared" si="1"/>
        <v>469500</v>
      </c>
    </row>
    <row r="18">
      <c r="A18" s="12">
        <v>45848.0</v>
      </c>
      <c r="B18" s="12">
        <v>45848.0</v>
      </c>
      <c r="C18" s="14" t="s">
        <v>166</v>
      </c>
      <c r="D18" s="14" t="s">
        <v>167</v>
      </c>
      <c r="E18" s="16">
        <v>156000.0</v>
      </c>
      <c r="F18" s="16"/>
      <c r="G18" s="16">
        <f t="shared" si="1"/>
        <v>313500</v>
      </c>
    </row>
    <row r="19">
      <c r="A19" s="12">
        <v>45849.0</v>
      </c>
      <c r="B19" s="12">
        <v>45849.0</v>
      </c>
      <c r="C19" s="14" t="s">
        <v>170</v>
      </c>
      <c r="D19" s="14" t="s">
        <v>173</v>
      </c>
      <c r="E19" s="16"/>
      <c r="F19" s="16">
        <v>12000.0</v>
      </c>
      <c r="G19" s="16">
        <f t="shared" si="1"/>
        <v>325500</v>
      </c>
    </row>
    <row r="20">
      <c r="A20" s="12">
        <v>45850.0</v>
      </c>
      <c r="B20" s="12">
        <v>45850.0</v>
      </c>
      <c r="C20" s="14" t="s">
        <v>178</v>
      </c>
      <c r="D20" s="14" t="s">
        <v>179</v>
      </c>
      <c r="E20" s="16">
        <v>12000.0</v>
      </c>
      <c r="F20" s="16"/>
      <c r="G20" s="16">
        <f t="shared" si="1"/>
        <v>313500</v>
      </c>
    </row>
    <row r="21" ht="15.75" customHeight="1">
      <c r="A21" s="12">
        <v>45852.0</v>
      </c>
      <c r="B21" s="12">
        <v>45852.0</v>
      </c>
      <c r="C21" s="14" t="s">
        <v>183</v>
      </c>
      <c r="D21" s="14" t="s">
        <v>184</v>
      </c>
      <c r="E21" s="16">
        <v>45000.0</v>
      </c>
      <c r="F21" s="16"/>
      <c r="G21" s="16">
        <f t="shared" si="1"/>
        <v>268500</v>
      </c>
    </row>
    <row r="22" ht="15.75" customHeight="1">
      <c r="A22" s="12">
        <v>45854.0</v>
      </c>
      <c r="B22" s="12">
        <v>45854.0</v>
      </c>
      <c r="C22" s="14" t="s">
        <v>189</v>
      </c>
      <c r="D22" s="14" t="s">
        <v>192</v>
      </c>
      <c r="E22" s="16"/>
      <c r="F22" s="16">
        <v>7500.0</v>
      </c>
      <c r="G22" s="16">
        <f t="shared" si="1"/>
        <v>276000</v>
      </c>
    </row>
    <row r="23" ht="15.75" customHeight="1">
      <c r="A23" s="12">
        <v>45856.0</v>
      </c>
      <c r="B23" s="12">
        <v>45856.0</v>
      </c>
      <c r="C23" s="14" t="s">
        <v>197</v>
      </c>
      <c r="D23" s="14" t="s">
        <v>198</v>
      </c>
      <c r="E23" s="16">
        <v>142500.0</v>
      </c>
      <c r="F23" s="16"/>
      <c r="G23" s="16">
        <f t="shared" si="1"/>
        <v>133500</v>
      </c>
    </row>
    <row r="24" ht="15.75" customHeight="1">
      <c r="A24" s="12">
        <v>45859.0</v>
      </c>
      <c r="B24" s="12">
        <v>45859.0</v>
      </c>
      <c r="C24" s="14" t="s">
        <v>122</v>
      </c>
      <c r="D24" s="14" t="s">
        <v>203</v>
      </c>
      <c r="E24" s="16"/>
      <c r="F24" s="16">
        <v>550000.0</v>
      </c>
      <c r="G24" s="16">
        <f t="shared" si="1"/>
        <v>683500</v>
      </c>
    </row>
    <row r="25" ht="15.75" customHeight="1">
      <c r="A25" s="12">
        <v>45859.0</v>
      </c>
      <c r="B25" s="12">
        <v>45859.0</v>
      </c>
      <c r="C25" s="14" t="s">
        <v>207</v>
      </c>
      <c r="D25" s="14" t="s">
        <v>208</v>
      </c>
      <c r="E25" s="16">
        <v>245000.0</v>
      </c>
      <c r="F25" s="16"/>
      <c r="G25" s="16">
        <f t="shared" si="1"/>
        <v>438500</v>
      </c>
    </row>
    <row r="26" ht="15.75" customHeight="1">
      <c r="A26" s="12">
        <v>45860.0</v>
      </c>
      <c r="B26" s="12">
        <v>45860.0</v>
      </c>
      <c r="C26" s="14" t="s">
        <v>211</v>
      </c>
      <c r="D26" s="14" t="s">
        <v>212</v>
      </c>
      <c r="E26" s="16">
        <v>22000.0</v>
      </c>
      <c r="F26" s="16"/>
      <c r="G26" s="16">
        <f t="shared" si="1"/>
        <v>416500</v>
      </c>
    </row>
    <row r="27" ht="15.75" customHeight="1">
      <c r="A27" s="12">
        <v>45862.0</v>
      </c>
      <c r="B27" s="12">
        <v>45862.0</v>
      </c>
      <c r="C27" s="14" t="s">
        <v>214</v>
      </c>
      <c r="D27" s="14" t="s">
        <v>215</v>
      </c>
      <c r="E27" s="16">
        <v>138000.0</v>
      </c>
      <c r="F27" s="16"/>
      <c r="G27" s="16">
        <f t="shared" si="1"/>
        <v>278500</v>
      </c>
    </row>
    <row r="28" ht="15.75" customHeight="1">
      <c r="A28" s="12">
        <v>45863.0</v>
      </c>
      <c r="B28" s="12">
        <v>45863.0</v>
      </c>
      <c r="C28" s="14" t="s">
        <v>217</v>
      </c>
      <c r="D28" s="14" t="s">
        <v>218</v>
      </c>
      <c r="E28" s="16"/>
      <c r="F28" s="16">
        <v>10000.0</v>
      </c>
      <c r="G28" s="16">
        <f t="shared" si="1"/>
        <v>288500</v>
      </c>
    </row>
    <row r="29" ht="15.75" customHeight="1">
      <c r="A29" s="12">
        <v>45866.0</v>
      </c>
      <c r="B29" s="12">
        <v>45866.0</v>
      </c>
      <c r="C29" s="14" t="s">
        <v>219</v>
      </c>
      <c r="D29" s="14" t="s">
        <v>220</v>
      </c>
      <c r="E29" s="16">
        <v>78500.0</v>
      </c>
      <c r="F29" s="16"/>
      <c r="G29" s="16">
        <f t="shared" si="1"/>
        <v>210000</v>
      </c>
    </row>
    <row r="30" ht="15.75" customHeight="1">
      <c r="A30" s="12">
        <v>45867.0</v>
      </c>
      <c r="B30" s="12">
        <v>45867.0</v>
      </c>
      <c r="C30" s="14" t="s">
        <v>221</v>
      </c>
      <c r="D30" s="14" t="s">
        <v>222</v>
      </c>
      <c r="E30" s="16">
        <v>149000.0</v>
      </c>
      <c r="F30" s="16"/>
      <c r="G30" s="16">
        <f t="shared" si="1"/>
        <v>61000</v>
      </c>
    </row>
    <row r="31" ht="15.75" customHeight="1">
      <c r="A31" s="12">
        <v>45869.0</v>
      </c>
      <c r="B31" s="12">
        <v>45869.0</v>
      </c>
      <c r="C31" s="14" t="s">
        <v>156</v>
      </c>
      <c r="D31" s="14" t="s">
        <v>223</v>
      </c>
      <c r="E31" s="16">
        <v>1800.0</v>
      </c>
      <c r="F31" s="16"/>
      <c r="G31" s="16">
        <f t="shared" si="1"/>
        <v>59200</v>
      </c>
    </row>
    <row r="32" ht="15.75" customHeight="1">
      <c r="A32" s="12">
        <v>45869.0</v>
      </c>
      <c r="B32" s="12">
        <v>45869.0</v>
      </c>
      <c r="C32" s="14" t="s">
        <v>161</v>
      </c>
      <c r="D32" s="14" t="s">
        <v>226</v>
      </c>
      <c r="E32" s="16">
        <v>288.0</v>
      </c>
      <c r="F32" s="16"/>
      <c r="G32" s="16">
        <f t="shared" si="1"/>
        <v>58912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1.0"/>
    <col customWidth="1" min="3" max="3" width="13.0"/>
    <col customWidth="1" min="4" max="4" width="48.0"/>
    <col customWidth="1" min="5" max="5" width="18.0"/>
    <col customWidth="1" min="6" max="7" width="14.0"/>
    <col customWidth="1" min="8" max="9" width="24.0"/>
    <col customWidth="1" min="10" max="10" width="28.0"/>
    <col customWidth="1" min="11" max="11" width="13.0"/>
    <col customWidth="1" min="12" max="12" width="28.0"/>
    <col customWidth="1" min="13" max="13" width="13.0"/>
    <col customWidth="1" min="14" max="14" width="31.0"/>
    <col customWidth="1" min="15" max="15" width="20.0"/>
    <col customWidth="1" min="16" max="16" width="28.0"/>
    <col customWidth="1" min="17" max="18" width="16.0"/>
    <col customWidth="1" min="19" max="19" width="22.0"/>
    <col customWidth="1" min="20" max="20" width="24.0"/>
  </cols>
  <sheetData>
    <row r="1" ht="30.0" customHeight="1">
      <c r="A1" s="1" t="s">
        <v>232</v>
      </c>
    </row>
    <row r="2">
      <c r="A2" s="34" t="s">
        <v>233</v>
      </c>
      <c r="B2" s="35" t="s">
        <v>234</v>
      </c>
      <c r="C2" s="35" t="s">
        <v>235</v>
      </c>
      <c r="D2" s="35" t="s">
        <v>41</v>
      </c>
      <c r="E2" s="35" t="s">
        <v>43</v>
      </c>
      <c r="F2" s="35" t="s">
        <v>121</v>
      </c>
      <c r="G2" s="35" t="s">
        <v>125</v>
      </c>
      <c r="H2" s="35" t="s">
        <v>236</v>
      </c>
      <c r="I2" s="35" t="s">
        <v>237</v>
      </c>
      <c r="J2" s="35" t="s">
        <v>238</v>
      </c>
      <c r="K2" s="35" t="s">
        <v>239</v>
      </c>
      <c r="L2" s="35" t="s">
        <v>240</v>
      </c>
      <c r="M2" s="35" t="s">
        <v>241</v>
      </c>
      <c r="N2" s="35" t="s">
        <v>243</v>
      </c>
      <c r="O2" s="35" t="s">
        <v>244</v>
      </c>
      <c r="P2" s="35" t="s">
        <v>4</v>
      </c>
      <c r="Q2" s="35" t="s">
        <v>245</v>
      </c>
      <c r="R2" s="35" t="s">
        <v>247</v>
      </c>
      <c r="S2" s="35" t="s">
        <v>249</v>
      </c>
      <c r="T2" s="36" t="s">
        <v>250</v>
      </c>
    </row>
    <row r="3">
      <c r="A3" s="37" t="s">
        <v>251</v>
      </c>
      <c r="B3" s="37" t="s">
        <v>252</v>
      </c>
      <c r="C3" s="38">
        <f>'HBL Operating Account'!A8</f>
        <v>45839</v>
      </c>
      <c r="D3" s="39" t="str">
        <f>'HBL Operating Account'!C8</f>
        <v>IBFT CR - Daraz Pakistan settlement INV-DZ-250701</v>
      </c>
      <c r="E3" s="39" t="str">
        <f>'HBL Operating Account'!D8</f>
        <v>HBL250701001</v>
      </c>
      <c r="F3" s="40" t="str">
        <f>'HBL Operating Account'!E8</f>
        <v/>
      </c>
      <c r="G3" s="40">
        <f>'HBL Operating Account'!F8</f>
        <v>685000</v>
      </c>
      <c r="H3" s="41" t="s">
        <v>253</v>
      </c>
      <c r="I3" s="41" t="s">
        <v>254</v>
      </c>
      <c r="J3" s="41" t="s">
        <v>256</v>
      </c>
      <c r="K3" s="41">
        <v>1029.0</v>
      </c>
      <c r="L3" s="39" t="str">
        <f t="array" ref="L3">IFERROR(XLOOKUP(K3,'Chart of Accounts'!$H$6:$H$67,'Chart of Accounts'!$I$6:$I$67),"GL not found")</f>
        <v>GL not found</v>
      </c>
      <c r="M3" s="41">
        <v>1018.0</v>
      </c>
      <c r="N3" s="39" t="str">
        <f t="array" ref="N3">IFERROR(XLOOKUP(M3,'Chart of Accounts'!$H$6:$H$67,'Chart of Accounts'!$I$6:$I$67),"GL not found")</f>
        <v>GL not found</v>
      </c>
      <c r="O3" s="41" t="s">
        <v>277</v>
      </c>
      <c r="P3" s="41" t="s">
        <v>5</v>
      </c>
      <c r="Q3" s="41" t="s">
        <v>278</v>
      </c>
      <c r="R3" s="41"/>
      <c r="S3" s="41" t="s">
        <v>279</v>
      </c>
      <c r="T3" s="41" t="s">
        <v>280</v>
      </c>
    </row>
    <row r="4">
      <c r="A4" s="37" t="s">
        <v>281</v>
      </c>
      <c r="B4" s="37" t="s">
        <v>252</v>
      </c>
      <c r="C4" s="38">
        <f>'HBL Operating Account'!A9</f>
        <v>45839</v>
      </c>
      <c r="D4" s="39" t="str">
        <f>'HBL Operating Account'!C9</f>
        <v>Online transfer - Office rent July - Blue Area Properties</v>
      </c>
      <c r="E4" s="39" t="str">
        <f>'HBL Operating Account'!D9</f>
        <v>HBL250701002</v>
      </c>
      <c r="F4" s="40">
        <f>'HBL Operating Account'!E9</f>
        <v>275000</v>
      </c>
      <c r="G4" s="40" t="str">
        <f>'HBL Operating Account'!F9</f>
        <v/>
      </c>
      <c r="H4" s="41" t="s">
        <v>285</v>
      </c>
      <c r="I4" s="41" t="s">
        <v>286</v>
      </c>
      <c r="J4" s="41" t="s">
        <v>287</v>
      </c>
      <c r="K4" s="41">
        <v>1029.0</v>
      </c>
      <c r="L4" s="39" t="str">
        <f t="array" ref="L4">IFERROR(XLOOKUP(K4,'Chart of Accounts'!$H$6:$H$67,'Chart of Accounts'!$I$6:$I$67),"GL not found")</f>
        <v>GL not found</v>
      </c>
      <c r="M4" s="41">
        <v>1058.0</v>
      </c>
      <c r="N4" s="39" t="str">
        <f t="array" ref="N4">IFERROR(XLOOKUP(M4,'Chart of Accounts'!$H$6:$H$67,'Chart of Accounts'!$I$6:$I$67),"GL not found")</f>
        <v>GL not found</v>
      </c>
      <c r="O4" s="41" t="s">
        <v>299</v>
      </c>
      <c r="P4" s="41" t="s">
        <v>5</v>
      </c>
      <c r="Q4" s="41" t="s">
        <v>278</v>
      </c>
      <c r="R4" s="41"/>
      <c r="S4" s="41" t="s">
        <v>279</v>
      </c>
      <c r="T4" s="41" t="s">
        <v>300</v>
      </c>
    </row>
    <row r="5">
      <c r="A5" s="37" t="s">
        <v>301</v>
      </c>
      <c r="B5" s="37" t="s">
        <v>252</v>
      </c>
      <c r="C5" s="38">
        <f>'HBL Operating Account'!A10</f>
        <v>45840</v>
      </c>
      <c r="D5" s="39" t="str">
        <f>'HBL Operating Account'!C10</f>
        <v>Raast CR - Onic distribution collection Batch 0702</v>
      </c>
      <c r="E5" s="39" t="str">
        <f>'HBL Operating Account'!D10</f>
        <v>HBL250702003</v>
      </c>
      <c r="F5" s="40" t="str">
        <f>'HBL Operating Account'!E10</f>
        <v/>
      </c>
      <c r="G5" s="40">
        <f>'HBL Operating Account'!F10</f>
        <v>412500</v>
      </c>
      <c r="H5" s="41" t="s">
        <v>253</v>
      </c>
      <c r="I5" s="41" t="s">
        <v>302</v>
      </c>
      <c r="J5" s="41" t="s">
        <v>303</v>
      </c>
      <c r="K5" s="41">
        <v>1029.0</v>
      </c>
      <c r="L5" s="39" t="str">
        <f t="array" ref="L5">IFERROR(XLOOKUP(K5,'Chart of Accounts'!$H$6:$H$67,'Chart of Accounts'!$I$6:$I$67),"GL not found")</f>
        <v>GL not found</v>
      </c>
      <c r="M5" s="41">
        <v>1018.0</v>
      </c>
      <c r="N5" s="39" t="str">
        <f t="array" ref="N5">IFERROR(XLOOKUP(M5,'Chart of Accounts'!$H$6:$H$67,'Chart of Accounts'!$I$6:$I$67),"GL not found")</f>
        <v>GL not found</v>
      </c>
      <c r="O5" s="41" t="s">
        <v>277</v>
      </c>
      <c r="P5" s="41" t="s">
        <v>5</v>
      </c>
      <c r="Q5" s="41" t="s">
        <v>278</v>
      </c>
      <c r="R5" s="41"/>
      <c r="S5" s="41" t="s">
        <v>279</v>
      </c>
      <c r="T5" s="41" t="s">
        <v>280</v>
      </c>
    </row>
    <row r="6">
      <c r="A6" s="37" t="s">
        <v>312</v>
      </c>
      <c r="B6" s="37" t="s">
        <v>252</v>
      </c>
      <c r="C6" s="38">
        <f>'HBL Operating Account'!A11</f>
        <v>45840</v>
      </c>
      <c r="D6" s="39" t="str">
        <f>'HBL Operating Account'!C11</f>
        <v>POS 7712 - Shell F-8 Islamabad</v>
      </c>
      <c r="E6" s="39" t="str">
        <f>'HBL Operating Account'!D11</f>
        <v>HBL250702004</v>
      </c>
      <c r="F6" s="40">
        <f>'HBL Operating Account'!E11</f>
        <v>18450</v>
      </c>
      <c r="G6" s="40" t="str">
        <f>'HBL Operating Account'!F11</f>
        <v/>
      </c>
      <c r="H6" s="41" t="s">
        <v>314</v>
      </c>
      <c r="I6" s="41" t="s">
        <v>315</v>
      </c>
      <c r="J6" s="41" t="s">
        <v>316</v>
      </c>
      <c r="K6" s="41">
        <v>1029.0</v>
      </c>
      <c r="L6" s="39" t="str">
        <f t="array" ref="L6">IFERROR(XLOOKUP(K6,'Chart of Accounts'!$H$6:$H$67,'Chart of Accounts'!$I$6:$I$67),"GL not found")</f>
        <v>GL not found</v>
      </c>
      <c r="M6" s="41">
        <v>1055.0</v>
      </c>
      <c r="N6" s="39" t="str">
        <f t="array" ref="N6">IFERROR(XLOOKUP(M6,'Chart of Accounts'!$H$6:$H$67,'Chart of Accounts'!$I$6:$I$67),"GL not found")</f>
        <v>GL not found</v>
      </c>
      <c r="O6" s="41" t="s">
        <v>299</v>
      </c>
      <c r="P6" s="41" t="s">
        <v>5</v>
      </c>
      <c r="Q6" s="41" t="s">
        <v>278</v>
      </c>
      <c r="R6" s="41"/>
      <c r="S6" s="41" t="s">
        <v>279</v>
      </c>
      <c r="T6" s="41" t="s">
        <v>300</v>
      </c>
    </row>
    <row r="7">
      <c r="A7" s="37" t="s">
        <v>323</v>
      </c>
      <c r="B7" s="37" t="s">
        <v>252</v>
      </c>
      <c r="C7" s="38">
        <f>'HBL Operating Account'!A12</f>
        <v>45841</v>
      </c>
      <c r="D7" s="39" t="str">
        <f>'HBL Operating Account'!C12</f>
        <v>Cheque 104583 - Pak Cargo Fleet Services</v>
      </c>
      <c r="E7" s="39" t="str">
        <f>'HBL Operating Account'!D12</f>
        <v>CHQ104583</v>
      </c>
      <c r="F7" s="40">
        <f>'HBL Operating Account'!E12</f>
        <v>335000</v>
      </c>
      <c r="G7" s="40" t="str">
        <f>'HBL Operating Account'!F12</f>
        <v/>
      </c>
      <c r="H7" s="41" t="s">
        <v>325</v>
      </c>
      <c r="I7" s="41" t="s">
        <v>326</v>
      </c>
      <c r="J7" s="41" t="s">
        <v>327</v>
      </c>
      <c r="K7" s="41">
        <v>1029.0</v>
      </c>
      <c r="L7" s="39" t="str">
        <f t="array" ref="L7">IFERROR(XLOOKUP(K7,'Chart of Accounts'!$H$6:$H$67,'Chart of Accounts'!$I$6:$I$67),"GL not found")</f>
        <v>GL not found</v>
      </c>
      <c r="M7" s="41">
        <v>1054.0</v>
      </c>
      <c r="N7" s="39" t="str">
        <f t="array" ref="N7">IFERROR(XLOOKUP(M7,'Chart of Accounts'!$H$6:$H$67,'Chart of Accounts'!$I$6:$I$67),"GL not found")</f>
        <v>GL not found</v>
      </c>
      <c r="O7" s="41" t="s">
        <v>334</v>
      </c>
      <c r="P7" s="41" t="s">
        <v>5</v>
      </c>
      <c r="Q7" s="41" t="s">
        <v>278</v>
      </c>
      <c r="R7" s="41"/>
      <c r="S7" s="41" t="s">
        <v>279</v>
      </c>
      <c r="T7" s="41" t="s">
        <v>300</v>
      </c>
    </row>
    <row r="8">
      <c r="A8" s="37" t="s">
        <v>335</v>
      </c>
      <c r="B8" s="37" t="s">
        <v>252</v>
      </c>
      <c r="C8" s="38">
        <f>'HBL Operating Account'!A13</f>
        <v>45841</v>
      </c>
      <c r="D8" s="39" t="str">
        <f>'HBL Operating Account'!C13</f>
        <v>Withholding tax on cheque 104583</v>
      </c>
      <c r="E8" s="39" t="str">
        <f>'HBL Operating Account'!D13</f>
        <v>WHT104583</v>
      </c>
      <c r="F8" s="40">
        <f>'HBL Operating Account'!E13</f>
        <v>3350</v>
      </c>
      <c r="G8" s="40" t="str">
        <f>'HBL Operating Account'!F13</f>
        <v/>
      </c>
      <c r="H8" s="41" t="s">
        <v>342</v>
      </c>
      <c r="I8" s="41" t="s">
        <v>343</v>
      </c>
      <c r="J8" s="41" t="s">
        <v>344</v>
      </c>
      <c r="K8" s="41">
        <v>1029.0</v>
      </c>
      <c r="L8" s="39" t="str">
        <f t="array" ref="L8">IFERROR(XLOOKUP(K8,'Chart of Accounts'!$H$6:$H$67,'Chart of Accounts'!$I$6:$I$67),"GL not found")</f>
        <v>GL not found</v>
      </c>
      <c r="M8" s="41">
        <v>1036.0</v>
      </c>
      <c r="N8" s="39" t="str">
        <f t="array" ref="N8">IFERROR(XLOOKUP(M8,'Chart of Accounts'!$H$6:$H$67,'Chart of Accounts'!$I$6:$I$67),"GL not found")</f>
        <v>GL not found</v>
      </c>
      <c r="O8" s="41" t="s">
        <v>346</v>
      </c>
      <c r="P8" s="41" t="s">
        <v>5</v>
      </c>
      <c r="Q8" s="41" t="s">
        <v>278</v>
      </c>
      <c r="R8" s="41"/>
      <c r="S8" s="41" t="s">
        <v>279</v>
      </c>
      <c r="T8" s="41" t="s">
        <v>300</v>
      </c>
    </row>
    <row r="9">
      <c r="A9" s="37" t="s">
        <v>349</v>
      </c>
      <c r="B9" s="37" t="s">
        <v>252</v>
      </c>
      <c r="C9" s="38">
        <f>'HBL Operating Account'!A14</f>
        <v>45842</v>
      </c>
      <c r="D9" s="39" t="str">
        <f>'HBL Operating Account'!C14</f>
        <v>IBFT CR - Sapphire merchant COD settlement</v>
      </c>
      <c r="E9" s="39" t="str">
        <f>'HBL Operating Account'!D14</f>
        <v>HBL250704007</v>
      </c>
      <c r="F9" s="40" t="str">
        <f>'HBL Operating Account'!E14</f>
        <v/>
      </c>
      <c r="G9" s="40">
        <f>'HBL Operating Account'!F14</f>
        <v>298750</v>
      </c>
      <c r="H9" s="41" t="s">
        <v>253</v>
      </c>
      <c r="I9" s="41" t="s">
        <v>354</v>
      </c>
      <c r="J9" s="41" t="s">
        <v>355</v>
      </c>
      <c r="K9" s="41">
        <v>1029.0</v>
      </c>
      <c r="L9" s="39" t="str">
        <f t="array" ref="L9">IFERROR(XLOOKUP(K9,'Chart of Accounts'!$H$6:$H$67,'Chart of Accounts'!$I$6:$I$67),"GL not found")</f>
        <v>GL not found</v>
      </c>
      <c r="M9" s="41">
        <v>1018.0</v>
      </c>
      <c r="N9" s="39" t="str">
        <f t="array" ref="N9">IFERROR(XLOOKUP(M9,'Chart of Accounts'!$H$6:$H$67,'Chart of Accounts'!$I$6:$I$67),"GL not found")</f>
        <v>GL not found</v>
      </c>
      <c r="O9" s="41" t="s">
        <v>277</v>
      </c>
      <c r="P9" s="41" t="s">
        <v>5</v>
      </c>
      <c r="Q9" s="41" t="s">
        <v>278</v>
      </c>
      <c r="R9" s="41"/>
      <c r="S9" s="41" t="s">
        <v>279</v>
      </c>
      <c r="T9" s="41" t="s">
        <v>280</v>
      </c>
    </row>
    <row r="10">
      <c r="A10" s="37" t="s">
        <v>359</v>
      </c>
      <c r="B10" s="37" t="s">
        <v>252</v>
      </c>
      <c r="C10" s="38">
        <f>'HBL Operating Account'!A15</f>
        <v>45842</v>
      </c>
      <c r="D10" s="39" t="str">
        <f>'HBL Operating Account'!C15</f>
        <v>Online payment - PTCL corporate internet June</v>
      </c>
      <c r="E10" s="39" t="str">
        <f>'HBL Operating Account'!D15</f>
        <v>HBL250704008</v>
      </c>
      <c r="F10" s="40">
        <f>'HBL Operating Account'!E15</f>
        <v>42800</v>
      </c>
      <c r="G10" s="40" t="str">
        <f>'HBL Operating Account'!F15</f>
        <v/>
      </c>
      <c r="H10" s="41" t="s">
        <v>361</v>
      </c>
      <c r="I10" s="41" t="s">
        <v>362</v>
      </c>
      <c r="J10" s="41" t="s">
        <v>363</v>
      </c>
      <c r="K10" s="41">
        <v>1029.0</v>
      </c>
      <c r="L10" s="39" t="str">
        <f t="array" ref="L10">IFERROR(XLOOKUP(K10,'Chart of Accounts'!$H$6:$H$67,'Chart of Accounts'!$I$6:$I$67),"GL not found")</f>
        <v>GL not found</v>
      </c>
      <c r="M10" s="41">
        <v>1058.0</v>
      </c>
      <c r="N10" s="39" t="str">
        <f t="array" ref="N10">IFERROR(XLOOKUP(M10,'Chart of Accounts'!$H$6:$H$67,'Chart of Accounts'!$I$6:$I$67),"GL not found")</f>
        <v>GL not found</v>
      </c>
      <c r="O10" s="41" t="s">
        <v>299</v>
      </c>
      <c r="P10" s="41" t="s">
        <v>5</v>
      </c>
      <c r="Q10" s="41" t="s">
        <v>278</v>
      </c>
      <c r="R10" s="41"/>
      <c r="S10" s="41" t="s">
        <v>279</v>
      </c>
      <c r="T10" s="41" t="s">
        <v>300</v>
      </c>
    </row>
    <row r="11">
      <c r="A11" s="37" t="s">
        <v>370</v>
      </c>
      <c r="B11" s="37" t="s">
        <v>252</v>
      </c>
      <c r="C11" s="38">
        <f>'HBL Operating Account'!A16</f>
        <v>45843</v>
      </c>
      <c r="D11" s="39" t="str">
        <f>'HBL Operating Account'!C16</f>
        <v>ATM cash withdrawal - HBL Blue Area</v>
      </c>
      <c r="E11" s="39" t="str">
        <f>'HBL Operating Account'!D16</f>
        <v>ATM250705</v>
      </c>
      <c r="F11" s="40">
        <f>'HBL Operating Account'!E16</f>
        <v>50000</v>
      </c>
      <c r="G11" s="40" t="str">
        <f>'HBL Operating Account'!F16</f>
        <v/>
      </c>
      <c r="H11" s="41" t="s">
        <v>371</v>
      </c>
      <c r="I11" s="41" t="s">
        <v>372</v>
      </c>
      <c r="J11" s="41" t="s">
        <v>373</v>
      </c>
      <c r="K11" s="41">
        <v>1029.0</v>
      </c>
      <c r="L11" s="39" t="str">
        <f t="array" ref="L11">IFERROR(XLOOKUP(K11,'Chart of Accounts'!$H$6:$H$67,'Chart of Accounts'!$I$6:$I$67),"GL not found")</f>
        <v>GL not found</v>
      </c>
      <c r="M11" s="41">
        <v>1068.0</v>
      </c>
      <c r="N11" s="39" t="str">
        <f t="array" ref="N11">IFERROR(XLOOKUP(M11,'Chart of Accounts'!$H$6:$H$67,'Chart of Accounts'!$I$6:$I$67),"GL not found")</f>
        <v>GL not found</v>
      </c>
      <c r="O11" s="41" t="s">
        <v>277</v>
      </c>
      <c r="P11" s="41" t="s">
        <v>5</v>
      </c>
      <c r="Q11" s="41" t="s">
        <v>278</v>
      </c>
      <c r="R11" s="41"/>
      <c r="S11" s="41" t="s">
        <v>279</v>
      </c>
      <c r="T11" s="41" t="s">
        <v>300</v>
      </c>
    </row>
    <row r="12">
      <c r="A12" s="37" t="s">
        <v>379</v>
      </c>
      <c r="B12" s="37" t="s">
        <v>252</v>
      </c>
      <c r="C12" s="38">
        <f>'HBL Operating Account'!A17</f>
        <v>45845</v>
      </c>
      <c r="D12" s="39" t="str">
        <f>'HBL Operating Account'!C17</f>
        <v>Transfer to Meezan Bank payroll account</v>
      </c>
      <c r="E12" s="39" t="str">
        <f>'HBL Operating Account'!D17</f>
        <v>HBL250707011</v>
      </c>
      <c r="F12" s="40">
        <f>'HBL Operating Account'!E17</f>
        <v>850000</v>
      </c>
      <c r="G12" s="40" t="str">
        <f>'HBL Operating Account'!F17</f>
        <v/>
      </c>
      <c r="H12" s="41" t="s">
        <v>380</v>
      </c>
      <c r="I12" s="41" t="s">
        <v>381</v>
      </c>
      <c r="J12" s="41" t="s">
        <v>382</v>
      </c>
      <c r="K12" s="41">
        <v>1029.0</v>
      </c>
      <c r="L12" s="39" t="str">
        <f t="array" ref="L12">IFERROR(XLOOKUP(K12,'Chart of Accounts'!$H$6:$H$67,'Chart of Accounts'!$I$6:$I$67),"GL not found")</f>
        <v>GL not found</v>
      </c>
      <c r="M12" s="41">
        <v>1030.0</v>
      </c>
      <c r="N12" s="39" t="str">
        <f t="array" ref="N12">IFERROR(XLOOKUP(M12,'Chart of Accounts'!$H$6:$H$67,'Chart of Accounts'!$I$6:$I$67),"GL not found")</f>
        <v>GL not found</v>
      </c>
      <c r="O12" s="41" t="s">
        <v>277</v>
      </c>
      <c r="P12" s="41" t="s">
        <v>5</v>
      </c>
      <c r="Q12" s="41" t="s">
        <v>278</v>
      </c>
      <c r="R12" s="41" t="s">
        <v>384</v>
      </c>
      <c r="S12" s="41" t="s">
        <v>279</v>
      </c>
      <c r="T12" s="41" t="s">
        <v>385</v>
      </c>
    </row>
    <row r="13">
      <c r="A13" s="37" t="s">
        <v>386</v>
      </c>
      <c r="B13" s="37" t="s">
        <v>252</v>
      </c>
      <c r="C13" s="38">
        <f>'HBL Operating Account'!A18</f>
        <v>45846</v>
      </c>
      <c r="D13" s="39" t="str">
        <f>'HBL Operating Account'!C18</f>
        <v>IBFT CR - Merchant advance repayment - Saeed Ghani</v>
      </c>
      <c r="E13" s="39" t="str">
        <f>'HBL Operating Account'!D18</f>
        <v>HBL250708012</v>
      </c>
      <c r="F13" s="40" t="str">
        <f>'HBL Operating Account'!E18</f>
        <v/>
      </c>
      <c r="G13" s="40">
        <f>'HBL Operating Account'!F18</f>
        <v>175000</v>
      </c>
      <c r="H13" s="41" t="s">
        <v>253</v>
      </c>
      <c r="I13" s="41" t="s">
        <v>389</v>
      </c>
      <c r="J13" s="41" t="s">
        <v>390</v>
      </c>
      <c r="K13" s="41">
        <v>1029.0</v>
      </c>
      <c r="L13" s="39" t="str">
        <f t="array" ref="L13">IFERROR(XLOOKUP(K13,'Chart of Accounts'!$H$6:$H$67,'Chart of Accounts'!$I$6:$I$67),"GL not found")</f>
        <v>GL not found</v>
      </c>
      <c r="M13" s="41">
        <v>1018.0</v>
      </c>
      <c r="N13" s="39" t="str">
        <f t="array" ref="N13">IFERROR(XLOOKUP(M13,'Chart of Accounts'!$H$6:$H$67,'Chart of Accounts'!$I$6:$I$67),"GL not found")</f>
        <v>GL not found</v>
      </c>
      <c r="O13" s="41" t="s">
        <v>277</v>
      </c>
      <c r="P13" s="41" t="s">
        <v>5</v>
      </c>
      <c r="Q13" s="41" t="s">
        <v>278</v>
      </c>
      <c r="R13" s="41"/>
      <c r="S13" s="41" t="s">
        <v>279</v>
      </c>
      <c r="T13" s="41" t="s">
        <v>280</v>
      </c>
    </row>
    <row r="14">
      <c r="A14" s="37" t="s">
        <v>391</v>
      </c>
      <c r="B14" s="37" t="s">
        <v>252</v>
      </c>
      <c r="C14" s="38">
        <f>'HBL Operating Account'!A19</f>
        <v>45846</v>
      </c>
      <c r="D14" s="39" t="str">
        <f>'HBL Operating Account'!C19</f>
        <v>Online transfer - Vehicle maintenance - Toyota Islamabad</v>
      </c>
      <c r="E14" s="39" t="str">
        <f>'HBL Operating Account'!D19</f>
        <v>HBL250708013</v>
      </c>
      <c r="F14" s="40">
        <f>'HBL Operating Account'!E19</f>
        <v>96750</v>
      </c>
      <c r="G14" s="40" t="str">
        <f>'HBL Operating Account'!F19</f>
        <v/>
      </c>
      <c r="H14" s="41" t="s">
        <v>394</v>
      </c>
      <c r="I14" s="41" t="s">
        <v>395</v>
      </c>
      <c r="J14" s="41" t="s">
        <v>396</v>
      </c>
      <c r="K14" s="41">
        <v>1029.0</v>
      </c>
      <c r="L14" s="39" t="str">
        <f t="array" ref="L14">IFERROR(XLOOKUP(K14,'Chart of Accounts'!$H$6:$H$67,'Chart of Accounts'!$I$6:$I$67),"GL not found")</f>
        <v>GL not found</v>
      </c>
      <c r="M14" s="41">
        <v>1068.0</v>
      </c>
      <c r="N14" s="39" t="str">
        <f t="array" ref="N14">IFERROR(XLOOKUP(M14,'Chart of Accounts'!$H$6:$H$67,'Chart of Accounts'!$I$6:$I$67),"GL not found")</f>
        <v>GL not found</v>
      </c>
      <c r="O14" s="41" t="s">
        <v>299</v>
      </c>
      <c r="P14" s="41" t="s">
        <v>5</v>
      </c>
      <c r="Q14" s="41" t="s">
        <v>278</v>
      </c>
      <c r="R14" s="41"/>
      <c r="S14" s="41" t="s">
        <v>279</v>
      </c>
      <c r="T14" s="41" t="s">
        <v>300</v>
      </c>
    </row>
    <row r="15">
      <c r="A15" s="37" t="s">
        <v>399</v>
      </c>
      <c r="B15" s="37" t="s">
        <v>252</v>
      </c>
      <c r="C15" s="38">
        <f>'HBL Operating Account'!A20</f>
        <v>45847</v>
      </c>
      <c r="D15" s="39" t="str">
        <f>'HBL Operating Account'!C20</f>
        <v>Card 8821 - Microsoft 365 Business subscription</v>
      </c>
      <c r="E15" s="39" t="str">
        <f>'HBL Operating Account'!D20</f>
        <v>HBL250709014</v>
      </c>
      <c r="F15" s="40">
        <f>'HBL Operating Account'!E20</f>
        <v>36500</v>
      </c>
      <c r="G15" s="40" t="str">
        <f>'HBL Operating Account'!F20</f>
        <v/>
      </c>
      <c r="H15" s="41" t="s">
        <v>400</v>
      </c>
      <c r="I15" s="41" t="s">
        <v>401</v>
      </c>
      <c r="J15" s="41" t="s">
        <v>403</v>
      </c>
      <c r="K15" s="41">
        <v>1029.0</v>
      </c>
      <c r="L15" s="39" t="str">
        <f t="array" ref="L15">IFERROR(XLOOKUP(K15,'Chart of Accounts'!$H$6:$H$67,'Chart of Accounts'!$I$6:$I$67),"GL not found")</f>
        <v>GL not found</v>
      </c>
      <c r="M15" s="41">
        <v>1068.0</v>
      </c>
      <c r="N15" s="39" t="str">
        <f t="array" ref="N15">IFERROR(XLOOKUP(M15,'Chart of Accounts'!$H$6:$H$67,'Chart of Accounts'!$I$6:$I$67),"GL not found")</f>
        <v>GL not found</v>
      </c>
      <c r="O15" s="41" t="s">
        <v>405</v>
      </c>
      <c r="P15" s="41" t="s">
        <v>5</v>
      </c>
      <c r="Q15" s="41" t="s">
        <v>278</v>
      </c>
      <c r="R15" s="41"/>
      <c r="S15" s="41" t="s">
        <v>279</v>
      </c>
      <c r="T15" s="41" t="s">
        <v>300</v>
      </c>
    </row>
    <row r="16">
      <c r="A16" s="37" t="s">
        <v>406</v>
      </c>
      <c r="B16" s="37" t="s">
        <v>252</v>
      </c>
      <c r="C16" s="38">
        <f>'HBL Operating Account'!A21</f>
        <v>45847</v>
      </c>
      <c r="D16" s="39" t="str">
        <f>'HBL Operating Account'!C21</f>
        <v>Foreign transaction fee - Microsoft subscription</v>
      </c>
      <c r="E16" s="39" t="str">
        <f>'HBL Operating Account'!D21</f>
        <v>HBL250709015</v>
      </c>
      <c r="F16" s="40">
        <f>'HBL Operating Account'!E21</f>
        <v>1095</v>
      </c>
      <c r="G16" s="40" t="str">
        <f>'HBL Operating Account'!F21</f>
        <v/>
      </c>
      <c r="H16" s="41" t="s">
        <v>407</v>
      </c>
      <c r="I16" s="41" t="s">
        <v>252</v>
      </c>
      <c r="J16" s="41" t="s">
        <v>408</v>
      </c>
      <c r="K16" s="41">
        <v>1029.0</v>
      </c>
      <c r="L16" s="39" t="str">
        <f t="array" ref="L16">IFERROR(XLOOKUP(K16,'Chart of Accounts'!$H$6:$H$67,'Chart of Accounts'!$I$6:$I$67),"GL not found")</f>
        <v>GL not found</v>
      </c>
      <c r="M16" s="41">
        <v>1057.0</v>
      </c>
      <c r="N16" s="39" t="str">
        <f t="array" ref="N16">IFERROR(XLOOKUP(M16,'Chart of Accounts'!$H$6:$H$67,'Chart of Accounts'!$I$6:$I$67),"GL not found")</f>
        <v>GL not found</v>
      </c>
      <c r="O16" s="41" t="s">
        <v>277</v>
      </c>
      <c r="P16" s="41" t="s">
        <v>5</v>
      </c>
      <c r="Q16" s="41" t="s">
        <v>278</v>
      </c>
      <c r="R16" s="41"/>
      <c r="S16" s="41" t="s">
        <v>279</v>
      </c>
      <c r="T16" s="41" t="s">
        <v>300</v>
      </c>
    </row>
    <row r="17">
      <c r="A17" s="37" t="s">
        <v>412</v>
      </c>
      <c r="B17" s="37" t="s">
        <v>252</v>
      </c>
      <c r="C17" s="38">
        <f>'HBL Operating Account'!A22</f>
        <v>45848</v>
      </c>
      <c r="D17" s="39" t="str">
        <f>'HBL Operating Account'!C22</f>
        <v>Cash deposit - Islamabad operations collections</v>
      </c>
      <c r="E17" s="39" t="str">
        <f>'HBL Operating Account'!D22</f>
        <v>CD250710</v>
      </c>
      <c r="F17" s="40" t="str">
        <f>'HBL Operating Account'!E22</f>
        <v/>
      </c>
      <c r="G17" s="40">
        <f>'HBL Operating Account'!F22</f>
        <v>224000</v>
      </c>
      <c r="H17" s="41" t="s">
        <v>413</v>
      </c>
      <c r="I17" s="41" t="s">
        <v>414</v>
      </c>
      <c r="J17" s="41" t="s">
        <v>415</v>
      </c>
      <c r="K17" s="41">
        <v>1029.0</v>
      </c>
      <c r="L17" s="39" t="str">
        <f t="array" ref="L17">IFERROR(XLOOKUP(K17,'Chart of Accounts'!$H$6:$H$67,'Chart of Accounts'!$I$6:$I$67),"GL not found")</f>
        <v>GL not found</v>
      </c>
      <c r="M17" s="41">
        <v>1050.0</v>
      </c>
      <c r="N17" s="39" t="str">
        <f t="array" ref="N17">IFERROR(XLOOKUP(M17,'Chart of Accounts'!$H$6:$H$67,'Chart of Accounts'!$I$6:$I$67),"GL not found")</f>
        <v>GL not found</v>
      </c>
      <c r="O17" s="41" t="s">
        <v>294</v>
      </c>
      <c r="P17" s="41" t="s">
        <v>5</v>
      </c>
      <c r="Q17" s="41" t="s">
        <v>278</v>
      </c>
      <c r="R17" s="41"/>
      <c r="S17" s="41" t="s">
        <v>279</v>
      </c>
      <c r="T17" s="41" t="s">
        <v>280</v>
      </c>
    </row>
    <row r="18">
      <c r="A18" s="37" t="s">
        <v>416</v>
      </c>
      <c r="B18" s="37" t="s">
        <v>252</v>
      </c>
      <c r="C18" s="38">
        <f>'HBL Operating Account'!A23</f>
        <v>45849</v>
      </c>
      <c r="D18" s="39" t="str">
        <f>'HBL Operating Account'!C23</f>
        <v>Cheque 104584 - Warehouse security deposit</v>
      </c>
      <c r="E18" s="39" t="str">
        <f>'HBL Operating Account'!D23</f>
        <v>CHQ104584</v>
      </c>
      <c r="F18" s="40">
        <f>'HBL Operating Account'!E23</f>
        <v>200000</v>
      </c>
      <c r="G18" s="40" t="str">
        <f>'HBL Operating Account'!F23</f>
        <v/>
      </c>
      <c r="H18" s="41" t="s">
        <v>419</v>
      </c>
      <c r="I18" s="41" t="s">
        <v>420</v>
      </c>
      <c r="J18" s="41" t="s">
        <v>421</v>
      </c>
      <c r="K18" s="41">
        <v>1029.0</v>
      </c>
      <c r="L18" s="39" t="str">
        <f t="array" ref="L18">IFERROR(XLOOKUP(K18,'Chart of Accounts'!$H$6:$H$67,'Chart of Accounts'!$I$6:$I$67),"GL not found")</f>
        <v>GL not found</v>
      </c>
      <c r="M18" s="41">
        <v>1021.0</v>
      </c>
      <c r="N18" s="39" t="str">
        <f t="array" ref="N18">IFERROR(XLOOKUP(M18,'Chart of Accounts'!$H$6:$H$67,'Chart of Accounts'!$I$6:$I$67),"GL not found")</f>
        <v>GL not found</v>
      </c>
      <c r="O18" s="41" t="s">
        <v>277</v>
      </c>
      <c r="P18" s="41" t="s">
        <v>5</v>
      </c>
      <c r="Q18" s="41" t="s">
        <v>278</v>
      </c>
      <c r="R18" s="41"/>
      <c r="S18" s="41" t="s">
        <v>279</v>
      </c>
      <c r="T18" s="41" t="s">
        <v>423</v>
      </c>
    </row>
    <row r="19">
      <c r="A19" s="37" t="s">
        <v>424</v>
      </c>
      <c r="B19" s="37" t="s">
        <v>252</v>
      </c>
      <c r="C19" s="38">
        <f>'HBL Operating Account'!A24</f>
        <v>45850</v>
      </c>
      <c r="D19" s="39" t="str">
        <f>'HBL Operating Account'!C24</f>
        <v>IBFT CR - Daraz Pakistan settlement INV-DZ-250712</v>
      </c>
      <c r="E19" s="39" t="str">
        <f>'HBL Operating Account'!D24</f>
        <v>HBL250712018</v>
      </c>
      <c r="F19" s="40" t="str">
        <f>'HBL Operating Account'!E24</f>
        <v/>
      </c>
      <c r="G19" s="40">
        <f>'HBL Operating Account'!F24</f>
        <v>742500</v>
      </c>
      <c r="H19" s="41" t="s">
        <v>253</v>
      </c>
      <c r="I19" s="41" t="s">
        <v>254</v>
      </c>
      <c r="J19" s="41" t="s">
        <v>426</v>
      </c>
      <c r="K19" s="41">
        <v>1029.0</v>
      </c>
      <c r="L19" s="39" t="str">
        <f t="array" ref="L19">IFERROR(XLOOKUP(K19,'Chart of Accounts'!$H$6:$H$67,'Chart of Accounts'!$I$6:$I$67),"GL not found")</f>
        <v>GL not found</v>
      </c>
      <c r="M19" s="41">
        <v>1018.0</v>
      </c>
      <c r="N19" s="39" t="str">
        <f t="array" ref="N19">IFERROR(XLOOKUP(M19,'Chart of Accounts'!$H$6:$H$67,'Chart of Accounts'!$I$6:$I$67),"GL not found")</f>
        <v>GL not found</v>
      </c>
      <c r="O19" s="41" t="s">
        <v>277</v>
      </c>
      <c r="P19" s="41" t="s">
        <v>5</v>
      </c>
      <c r="Q19" s="41" t="s">
        <v>278</v>
      </c>
      <c r="R19" s="41"/>
      <c r="S19" s="41" t="s">
        <v>279</v>
      </c>
      <c r="T19" s="41" t="s">
        <v>280</v>
      </c>
    </row>
    <row r="20">
      <c r="A20" s="37" t="s">
        <v>430</v>
      </c>
      <c r="B20" s="37" t="s">
        <v>252</v>
      </c>
      <c r="C20" s="38">
        <f>'HBL Operating Account'!A25</f>
        <v>45852</v>
      </c>
      <c r="D20" s="39" t="str">
        <f>'HBL Operating Account'!C25</f>
        <v>Online transfer - Diesel supplier - PSO Fleet Card</v>
      </c>
      <c r="E20" s="39" t="str">
        <f>'HBL Operating Account'!D25</f>
        <v>HBL250714019</v>
      </c>
      <c r="F20" s="40">
        <f>'HBL Operating Account'!E25</f>
        <v>386200</v>
      </c>
      <c r="G20" s="40" t="str">
        <f>'HBL Operating Account'!F25</f>
        <v/>
      </c>
      <c r="H20" s="41" t="s">
        <v>314</v>
      </c>
      <c r="I20" s="41" t="s">
        <v>432</v>
      </c>
      <c r="J20" s="41" t="s">
        <v>433</v>
      </c>
      <c r="K20" s="41">
        <v>1029.0</v>
      </c>
      <c r="L20" s="39" t="str">
        <f t="array" ref="L20">IFERROR(XLOOKUP(K20,'Chart of Accounts'!$H$6:$H$67,'Chart of Accounts'!$I$6:$I$67),"GL not found")</f>
        <v>GL not found</v>
      </c>
      <c r="M20" s="41">
        <v>1055.0</v>
      </c>
      <c r="N20" s="39" t="str">
        <f t="array" ref="N20">IFERROR(XLOOKUP(M20,'Chart of Accounts'!$H$6:$H$67,'Chart of Accounts'!$I$6:$I$67),"GL not found")</f>
        <v>GL not found</v>
      </c>
      <c r="O20" s="41" t="s">
        <v>299</v>
      </c>
      <c r="P20" s="41" t="s">
        <v>5</v>
      </c>
      <c r="Q20" s="41" t="s">
        <v>278</v>
      </c>
      <c r="R20" s="41"/>
      <c r="S20" s="41" t="s">
        <v>279</v>
      </c>
      <c r="T20" s="41" t="s">
        <v>300</v>
      </c>
    </row>
    <row r="21" ht="15.75" customHeight="1">
      <c r="A21" s="37" t="s">
        <v>439</v>
      </c>
      <c r="B21" s="37" t="s">
        <v>252</v>
      </c>
      <c r="C21" s="38">
        <f>'HBL Operating Account'!A26</f>
        <v>45853</v>
      </c>
      <c r="D21" s="39" t="str">
        <f>'HBL Operating Account'!C26</f>
        <v>Bank service charges - July</v>
      </c>
      <c r="E21" s="39" t="str">
        <f>'HBL Operating Account'!D26</f>
        <v>HBL250715020</v>
      </c>
      <c r="F21" s="40">
        <f>'HBL Operating Account'!E26</f>
        <v>2500</v>
      </c>
      <c r="G21" s="40" t="str">
        <f>'HBL Operating Account'!F26</f>
        <v/>
      </c>
      <c r="H21" s="41" t="s">
        <v>407</v>
      </c>
      <c r="I21" s="41" t="s">
        <v>252</v>
      </c>
      <c r="J21" s="41" t="s">
        <v>408</v>
      </c>
      <c r="K21" s="41">
        <v>1029.0</v>
      </c>
      <c r="L21" s="39" t="str">
        <f t="array" ref="L21">IFERROR(XLOOKUP(K21,'Chart of Accounts'!$H$6:$H$67,'Chart of Accounts'!$I$6:$I$67),"GL not found")</f>
        <v>GL not found</v>
      </c>
      <c r="M21" s="41">
        <v>1057.0</v>
      </c>
      <c r="N21" s="39" t="str">
        <f t="array" ref="N21">IFERROR(XLOOKUP(M21,'Chart of Accounts'!$H$6:$H$67,'Chart of Accounts'!$I$6:$I$67),"GL not found")</f>
        <v>GL not found</v>
      </c>
      <c r="O21" s="41" t="s">
        <v>277</v>
      </c>
      <c r="P21" s="41" t="s">
        <v>5</v>
      </c>
      <c r="Q21" s="41" t="s">
        <v>278</v>
      </c>
      <c r="R21" s="41"/>
      <c r="S21" s="41" t="s">
        <v>279</v>
      </c>
      <c r="T21" s="41" t="s">
        <v>300</v>
      </c>
    </row>
    <row r="22" ht="15.75" customHeight="1">
      <c r="A22" s="37" t="s">
        <v>445</v>
      </c>
      <c r="B22" s="37" t="s">
        <v>252</v>
      </c>
      <c r="C22" s="38">
        <f>'HBL Operating Account'!A27</f>
        <v>45853</v>
      </c>
      <c r="D22" s="39" t="str">
        <f>'HBL Operating Account'!C27</f>
        <v>FED on bank service charges</v>
      </c>
      <c r="E22" s="39" t="str">
        <f>'HBL Operating Account'!D27</f>
        <v>HBL250715021</v>
      </c>
      <c r="F22" s="40">
        <f>'HBL Operating Account'!E27</f>
        <v>400</v>
      </c>
      <c r="G22" s="40" t="str">
        <f>'HBL Operating Account'!F27</f>
        <v/>
      </c>
      <c r="H22" s="41" t="s">
        <v>446</v>
      </c>
      <c r="I22" s="41" t="s">
        <v>447</v>
      </c>
      <c r="J22" s="41" t="s">
        <v>408</v>
      </c>
      <c r="K22" s="41">
        <v>1029.0</v>
      </c>
      <c r="L22" s="39" t="str">
        <f t="array" ref="L22">IFERROR(XLOOKUP(K22,'Chart of Accounts'!$H$6:$H$67,'Chart of Accounts'!$I$6:$I$67),"GL not found")</f>
        <v>GL not found</v>
      </c>
      <c r="M22" s="41">
        <v>1068.0</v>
      </c>
      <c r="N22" s="39" t="str">
        <f t="array" ref="N22">IFERROR(XLOOKUP(M22,'Chart of Accounts'!$H$6:$H$67,'Chart of Accounts'!$I$6:$I$67),"GL not found")</f>
        <v>GL not found</v>
      </c>
      <c r="O22" s="41" t="s">
        <v>448</v>
      </c>
      <c r="P22" s="41" t="s">
        <v>5</v>
      </c>
      <c r="Q22" s="41" t="s">
        <v>278</v>
      </c>
      <c r="R22" s="41"/>
      <c r="S22" s="41" t="s">
        <v>279</v>
      </c>
      <c r="T22" s="41" t="s">
        <v>300</v>
      </c>
    </row>
    <row r="23" ht="15.75" customHeight="1">
      <c r="A23" s="37" t="s">
        <v>449</v>
      </c>
      <c r="B23" s="37" t="s">
        <v>252</v>
      </c>
      <c r="C23" s="38">
        <f>'HBL Operating Account'!A28</f>
        <v>45854</v>
      </c>
      <c r="D23" s="39" t="str">
        <f>'HBL Operating Account'!C28</f>
        <v>Raast CR - Corporate delivery customer AR-1098</v>
      </c>
      <c r="E23" s="39" t="str">
        <f>'HBL Operating Account'!D28</f>
        <v>HBL250716022</v>
      </c>
      <c r="F23" s="40" t="str">
        <f>'HBL Operating Account'!E28</f>
        <v/>
      </c>
      <c r="G23" s="40">
        <f>'HBL Operating Account'!F28</f>
        <v>455000</v>
      </c>
      <c r="H23" s="41" t="s">
        <v>253</v>
      </c>
      <c r="I23" s="41" t="s">
        <v>452</v>
      </c>
      <c r="J23" s="41" t="s">
        <v>453</v>
      </c>
      <c r="K23" s="41">
        <v>1029.0</v>
      </c>
      <c r="L23" s="39" t="str">
        <f t="array" ref="L23">IFERROR(XLOOKUP(K23,'Chart of Accounts'!$H$6:$H$67,'Chart of Accounts'!$I$6:$I$67),"GL not found")</f>
        <v>GL not found</v>
      </c>
      <c r="M23" s="41">
        <v>1018.0</v>
      </c>
      <c r="N23" s="39" t="str">
        <f t="array" ref="N23">IFERROR(XLOOKUP(M23,'Chart of Accounts'!$H$6:$H$67,'Chart of Accounts'!$I$6:$I$67),"GL not found")</f>
        <v>GL not found</v>
      </c>
      <c r="O23" s="41" t="s">
        <v>277</v>
      </c>
      <c r="P23" s="41" t="s">
        <v>5</v>
      </c>
      <c r="Q23" s="41" t="s">
        <v>278</v>
      </c>
      <c r="R23" s="41"/>
      <c r="S23" s="41" t="s">
        <v>279</v>
      </c>
      <c r="T23" s="41" t="s">
        <v>280</v>
      </c>
    </row>
    <row r="24" ht="15.75" customHeight="1">
      <c r="A24" s="37" t="s">
        <v>456</v>
      </c>
      <c r="B24" s="37" t="s">
        <v>252</v>
      </c>
      <c r="C24" s="38">
        <f>'HBL Operating Account'!A29</f>
        <v>45855</v>
      </c>
      <c r="D24" s="39" t="str">
        <f>'HBL Operating Account'!C29</f>
        <v>Online payment - Jazz corporate mobile bill</v>
      </c>
      <c r="E24" s="39" t="str">
        <f>'HBL Operating Account'!D29</f>
        <v>HBL250717023</v>
      </c>
      <c r="F24" s="40">
        <f>'HBL Operating Account'!E29</f>
        <v>58750</v>
      </c>
      <c r="G24" s="40" t="str">
        <f>'HBL Operating Account'!F29</f>
        <v/>
      </c>
      <c r="H24" s="41" t="s">
        <v>361</v>
      </c>
      <c r="I24" s="41" t="s">
        <v>459</v>
      </c>
      <c r="J24" s="41" t="s">
        <v>460</v>
      </c>
      <c r="K24" s="41">
        <v>1029.0</v>
      </c>
      <c r="L24" s="39" t="str">
        <f t="array" ref="L24">IFERROR(XLOOKUP(K24,'Chart of Accounts'!$H$6:$H$67,'Chart of Accounts'!$I$6:$I$67),"GL not found")</f>
        <v>GL not found</v>
      </c>
      <c r="M24" s="41">
        <v>1058.0</v>
      </c>
      <c r="N24" s="39" t="str">
        <f t="array" ref="N24">IFERROR(XLOOKUP(M24,'Chart of Accounts'!$H$6:$H$67,'Chart of Accounts'!$I$6:$I$67),"GL not found")</f>
        <v>GL not found</v>
      </c>
      <c r="O24" s="41" t="s">
        <v>299</v>
      </c>
      <c r="P24" s="41" t="s">
        <v>5</v>
      </c>
      <c r="Q24" s="41" t="s">
        <v>278</v>
      </c>
      <c r="R24" s="41"/>
      <c r="S24" s="41" t="s">
        <v>279</v>
      </c>
      <c r="T24" s="41" t="s">
        <v>300</v>
      </c>
    </row>
    <row r="25" ht="15.75" customHeight="1">
      <c r="A25" s="37" t="s">
        <v>461</v>
      </c>
      <c r="B25" s="37" t="s">
        <v>252</v>
      </c>
      <c r="C25" s="38">
        <f>'HBL Operating Account'!A30</f>
        <v>45856</v>
      </c>
      <c r="D25" s="39" t="str">
        <f>'HBL Operating Account'!C30</f>
        <v>Cheque 104585 - Packaging material supplier</v>
      </c>
      <c r="E25" s="39" t="str">
        <f>'HBL Operating Account'!D30</f>
        <v>CHQ104585</v>
      </c>
      <c r="F25" s="40">
        <f>'HBL Operating Account'!E30</f>
        <v>148600</v>
      </c>
      <c r="G25" s="40" t="str">
        <f>'HBL Operating Account'!F30</f>
        <v/>
      </c>
      <c r="H25" s="41" t="s">
        <v>464</v>
      </c>
      <c r="I25" s="41" t="s">
        <v>465</v>
      </c>
      <c r="J25" s="41" t="s">
        <v>466</v>
      </c>
      <c r="K25" s="41">
        <v>1029.0</v>
      </c>
      <c r="L25" s="39" t="str">
        <f t="array" ref="L25">IFERROR(XLOOKUP(K25,'Chart of Accounts'!$H$6:$H$67,'Chart of Accounts'!$I$6:$I$67),"GL not found")</f>
        <v>GL not found</v>
      </c>
      <c r="M25" s="41">
        <v>1068.0</v>
      </c>
      <c r="N25" s="39" t="str">
        <f t="array" ref="N25">IFERROR(XLOOKUP(M25,'Chart of Accounts'!$H$6:$H$67,'Chart of Accounts'!$I$6:$I$67),"GL not found")</f>
        <v>GL not found</v>
      </c>
      <c r="O25" s="41" t="s">
        <v>299</v>
      </c>
      <c r="P25" s="41" t="s">
        <v>5</v>
      </c>
      <c r="Q25" s="41" t="s">
        <v>278</v>
      </c>
      <c r="R25" s="41"/>
      <c r="S25" s="41" t="s">
        <v>279</v>
      </c>
      <c r="T25" s="41" t="s">
        <v>300</v>
      </c>
    </row>
    <row r="26" ht="15.75" customHeight="1">
      <c r="A26" s="37" t="s">
        <v>470</v>
      </c>
      <c r="B26" s="37" t="s">
        <v>252</v>
      </c>
      <c r="C26" s="38">
        <f>'HBL Operating Account'!A31</f>
        <v>45857</v>
      </c>
      <c r="D26" s="39" t="str">
        <f>'HBL Operating Account'!C31</f>
        <v>IBFT CR - Onic distribution collection Batch 0719</v>
      </c>
      <c r="E26" s="39" t="str">
        <f>'HBL Operating Account'!D31</f>
        <v>HBL250719025</v>
      </c>
      <c r="F26" s="40" t="str">
        <f>'HBL Operating Account'!E31</f>
        <v/>
      </c>
      <c r="G26" s="40">
        <f>'HBL Operating Account'!F31</f>
        <v>520000</v>
      </c>
      <c r="H26" s="41" t="s">
        <v>253</v>
      </c>
      <c r="I26" s="41" t="s">
        <v>302</v>
      </c>
      <c r="J26" s="41" t="s">
        <v>471</v>
      </c>
      <c r="K26" s="41">
        <v>1029.0</v>
      </c>
      <c r="L26" s="39" t="str">
        <f t="array" ref="L26">IFERROR(XLOOKUP(K26,'Chart of Accounts'!$H$6:$H$67,'Chart of Accounts'!$I$6:$I$67),"GL not found")</f>
        <v>GL not found</v>
      </c>
      <c r="M26" s="41">
        <v>1018.0</v>
      </c>
      <c r="N26" s="39" t="str">
        <f t="array" ref="N26">IFERROR(XLOOKUP(M26,'Chart of Accounts'!$H$6:$H$67,'Chart of Accounts'!$I$6:$I$67),"GL not found")</f>
        <v>GL not found</v>
      </c>
      <c r="O26" s="41" t="s">
        <v>277</v>
      </c>
      <c r="P26" s="41" t="s">
        <v>5</v>
      </c>
      <c r="Q26" s="41" t="s">
        <v>278</v>
      </c>
      <c r="R26" s="41"/>
      <c r="S26" s="41" t="s">
        <v>279</v>
      </c>
      <c r="T26" s="41" t="s">
        <v>280</v>
      </c>
    </row>
    <row r="27" ht="15.75" customHeight="1">
      <c r="A27" s="37" t="s">
        <v>475</v>
      </c>
      <c r="B27" s="37" t="s">
        <v>252</v>
      </c>
      <c r="C27" s="38">
        <f>'HBL Operating Account'!A32</f>
        <v>45859</v>
      </c>
      <c r="D27" s="39" t="str">
        <f>'HBL Operating Account'!C32</f>
        <v>Transfer to Meezan Bank payroll account</v>
      </c>
      <c r="E27" s="39" t="str">
        <f>'HBL Operating Account'!D32</f>
        <v>HBL250721026</v>
      </c>
      <c r="F27" s="40">
        <f>'HBL Operating Account'!E32</f>
        <v>550000</v>
      </c>
      <c r="G27" s="40" t="str">
        <f>'HBL Operating Account'!F32</f>
        <v/>
      </c>
      <c r="H27" s="41" t="s">
        <v>380</v>
      </c>
      <c r="I27" s="41" t="s">
        <v>381</v>
      </c>
      <c r="J27" s="41" t="s">
        <v>476</v>
      </c>
      <c r="K27" s="41">
        <v>1029.0</v>
      </c>
      <c r="L27" s="39" t="str">
        <f t="array" ref="L27">IFERROR(XLOOKUP(K27,'Chart of Accounts'!$H$6:$H$67,'Chart of Accounts'!$I$6:$I$67),"GL not found")</f>
        <v>GL not found</v>
      </c>
      <c r="M27" s="41">
        <v>1030.0</v>
      </c>
      <c r="N27" s="39" t="str">
        <f t="array" ref="N27">IFERROR(XLOOKUP(M27,'Chart of Accounts'!$H$6:$H$67,'Chart of Accounts'!$I$6:$I$67),"GL not found")</f>
        <v>GL not found</v>
      </c>
      <c r="O27" s="41" t="s">
        <v>277</v>
      </c>
      <c r="P27" s="41" t="s">
        <v>5</v>
      </c>
      <c r="Q27" s="41" t="s">
        <v>278</v>
      </c>
      <c r="R27" s="41" t="s">
        <v>480</v>
      </c>
      <c r="S27" s="41" t="s">
        <v>279</v>
      </c>
      <c r="T27" s="41" t="s">
        <v>385</v>
      </c>
    </row>
    <row r="28" ht="15.75" customHeight="1">
      <c r="A28" s="37" t="s">
        <v>481</v>
      </c>
      <c r="B28" s="37" t="s">
        <v>252</v>
      </c>
      <c r="C28" s="38">
        <f>'HBL Operating Account'!A33</f>
        <v>45860</v>
      </c>
      <c r="D28" s="39" t="str">
        <f>'HBL Operating Account'!C33</f>
        <v>Online transfer - Insurance premium - EFU General</v>
      </c>
      <c r="E28" s="39" t="str">
        <f>'HBL Operating Account'!D33</f>
        <v>HBL250722027</v>
      </c>
      <c r="F28" s="40">
        <f>'HBL Operating Account'!E33</f>
        <v>180000</v>
      </c>
      <c r="G28" s="40" t="str">
        <f>'HBL Operating Account'!F33</f>
        <v/>
      </c>
      <c r="H28" s="41" t="s">
        <v>485</v>
      </c>
      <c r="I28" s="41" t="s">
        <v>486</v>
      </c>
      <c r="J28" s="41" t="s">
        <v>487</v>
      </c>
      <c r="K28" s="41">
        <v>1029.0</v>
      </c>
      <c r="L28" s="39" t="str">
        <f t="array" ref="L28">IFERROR(XLOOKUP(K28,'Chart of Accounts'!$H$6:$H$67,'Chart of Accounts'!$I$6:$I$67),"GL not found")</f>
        <v>GL not found</v>
      </c>
      <c r="M28" s="41">
        <v>1026.0</v>
      </c>
      <c r="N28" s="39" t="str">
        <f t="array" ref="N28">IFERROR(XLOOKUP(M28,'Chart of Accounts'!$H$6:$H$67,'Chart of Accounts'!$I$6:$I$67),"GL not found")</f>
        <v>GL not found</v>
      </c>
      <c r="O28" s="41" t="s">
        <v>277</v>
      </c>
      <c r="P28" s="41" t="s">
        <v>5</v>
      </c>
      <c r="Q28" s="41" t="s">
        <v>278</v>
      </c>
      <c r="R28" s="41"/>
      <c r="S28" s="41" t="s">
        <v>279</v>
      </c>
      <c r="T28" s="41" t="s">
        <v>300</v>
      </c>
    </row>
    <row r="29" ht="15.75" customHeight="1">
      <c r="A29" s="37" t="s">
        <v>489</v>
      </c>
      <c r="B29" s="37" t="s">
        <v>252</v>
      </c>
      <c r="C29" s="38">
        <f>'HBL Operating Account'!A34</f>
        <v>45861</v>
      </c>
      <c r="D29" s="39" t="str">
        <f>'HBL Operating Account'!C34</f>
        <v>IBFT CR - COD settlement - Retail merchant pool</v>
      </c>
      <c r="E29" s="39" t="str">
        <f>'HBL Operating Account'!D34</f>
        <v>HBL250723028</v>
      </c>
      <c r="F29" s="40" t="str">
        <f>'HBL Operating Account'!E34</f>
        <v/>
      </c>
      <c r="G29" s="40">
        <f>'HBL Operating Account'!F34</f>
        <v>389450</v>
      </c>
      <c r="H29" s="41" t="s">
        <v>253</v>
      </c>
      <c r="I29" s="41" t="s">
        <v>492</v>
      </c>
      <c r="J29" s="41" t="s">
        <v>355</v>
      </c>
      <c r="K29" s="41">
        <v>1029.0</v>
      </c>
      <c r="L29" s="39" t="str">
        <f t="array" ref="L29">IFERROR(XLOOKUP(K29,'Chart of Accounts'!$H$6:$H$67,'Chart of Accounts'!$I$6:$I$67),"GL not found")</f>
        <v>GL not found</v>
      </c>
      <c r="M29" s="41">
        <v>1018.0</v>
      </c>
      <c r="N29" s="39" t="str">
        <f t="array" ref="N29">IFERROR(XLOOKUP(M29,'Chart of Accounts'!$H$6:$H$67,'Chart of Accounts'!$I$6:$I$67),"GL not found")</f>
        <v>GL not found</v>
      </c>
      <c r="O29" s="41" t="s">
        <v>277</v>
      </c>
      <c r="P29" s="41" t="s">
        <v>5</v>
      </c>
      <c r="Q29" s="41" t="s">
        <v>278</v>
      </c>
      <c r="R29" s="41"/>
      <c r="S29" s="41" t="s">
        <v>279</v>
      </c>
      <c r="T29" s="41" t="s">
        <v>280</v>
      </c>
    </row>
    <row r="30" ht="15.75" customHeight="1">
      <c r="A30" s="37" t="s">
        <v>498</v>
      </c>
      <c r="B30" s="37" t="s">
        <v>252</v>
      </c>
      <c r="C30" s="38">
        <f>'HBL Operating Account'!A35</f>
        <v>45862</v>
      </c>
      <c r="D30" s="39" t="str">
        <f>'HBL Operating Account'!C35</f>
        <v>Card 8821 - AWS cloud services</v>
      </c>
      <c r="E30" s="39" t="str">
        <f>'HBL Operating Account'!D35</f>
        <v>HBL250724029</v>
      </c>
      <c r="F30" s="40">
        <f>'HBL Operating Account'!E35</f>
        <v>72600</v>
      </c>
      <c r="G30" s="40" t="str">
        <f>'HBL Operating Account'!F35</f>
        <v/>
      </c>
      <c r="H30" s="41" t="s">
        <v>500</v>
      </c>
      <c r="I30" s="41" t="s">
        <v>501</v>
      </c>
      <c r="J30" s="41" t="s">
        <v>502</v>
      </c>
      <c r="K30" s="41">
        <v>1029.0</v>
      </c>
      <c r="L30" s="39" t="str">
        <f t="array" ref="L30">IFERROR(XLOOKUP(K30,'Chart of Accounts'!$H$6:$H$67,'Chart of Accounts'!$I$6:$I$67),"GL not found")</f>
        <v>GL not found</v>
      </c>
      <c r="M30" s="41">
        <v>1068.0</v>
      </c>
      <c r="N30" s="39" t="str">
        <f t="array" ref="N30">IFERROR(XLOOKUP(M30,'Chart of Accounts'!$H$6:$H$67,'Chart of Accounts'!$I$6:$I$67),"GL not found")</f>
        <v>GL not found</v>
      </c>
      <c r="O30" s="41" t="s">
        <v>405</v>
      </c>
      <c r="P30" s="41" t="s">
        <v>5</v>
      </c>
      <c r="Q30" s="41" t="s">
        <v>278</v>
      </c>
      <c r="R30" s="41"/>
      <c r="S30" s="41" t="s">
        <v>279</v>
      </c>
      <c r="T30" s="41" t="s">
        <v>300</v>
      </c>
    </row>
    <row r="31" ht="15.75" customHeight="1">
      <c r="A31" s="37" t="s">
        <v>507</v>
      </c>
      <c r="B31" s="37" t="s">
        <v>252</v>
      </c>
      <c r="C31" s="38">
        <f>'HBL Operating Account'!A36</f>
        <v>45863</v>
      </c>
      <c r="D31" s="39" t="str">
        <f>'HBL Operating Account'!C36</f>
        <v>Cheque return charges - customer cheque 77891</v>
      </c>
      <c r="E31" s="39" t="str">
        <f>'HBL Operating Account'!D36</f>
        <v>HBL250725030</v>
      </c>
      <c r="F31" s="40">
        <f>'HBL Operating Account'!E36</f>
        <v>1500</v>
      </c>
      <c r="G31" s="40" t="str">
        <f>'HBL Operating Account'!F36</f>
        <v/>
      </c>
      <c r="H31" s="41" t="s">
        <v>407</v>
      </c>
      <c r="I31" s="41" t="s">
        <v>252</v>
      </c>
      <c r="J31" s="41" t="s">
        <v>408</v>
      </c>
      <c r="K31" s="41">
        <v>1029.0</v>
      </c>
      <c r="L31" s="39" t="str">
        <f t="array" ref="L31">IFERROR(XLOOKUP(K31,'Chart of Accounts'!$H$6:$H$67,'Chart of Accounts'!$I$6:$I$67),"GL not found")</f>
        <v>GL not found</v>
      </c>
      <c r="M31" s="41">
        <v>1057.0</v>
      </c>
      <c r="N31" s="39" t="str">
        <f t="array" ref="N31">IFERROR(XLOOKUP(M31,'Chart of Accounts'!$H$6:$H$67,'Chart of Accounts'!$I$6:$I$67),"GL not found")</f>
        <v>GL not found</v>
      </c>
      <c r="O31" s="41" t="s">
        <v>277</v>
      </c>
      <c r="P31" s="41" t="s">
        <v>5</v>
      </c>
      <c r="Q31" s="41" t="s">
        <v>278</v>
      </c>
      <c r="R31" s="41"/>
      <c r="S31" s="41" t="s">
        <v>279</v>
      </c>
      <c r="T31" s="41" t="s">
        <v>300</v>
      </c>
    </row>
    <row r="32" ht="15.75" customHeight="1">
      <c r="A32" s="37" t="s">
        <v>513</v>
      </c>
      <c r="B32" s="37" t="s">
        <v>252</v>
      </c>
      <c r="C32" s="38">
        <f>'HBL Operating Account'!A37</f>
        <v>45866</v>
      </c>
      <c r="D32" s="39" t="str">
        <f>'HBL Operating Account'!C37</f>
        <v>IBFT CR - Customer cheque 77891 redeposited</v>
      </c>
      <c r="E32" s="39" t="str">
        <f>'HBL Operating Account'!D37</f>
        <v>HBL250728031</v>
      </c>
      <c r="F32" s="40" t="str">
        <f>'HBL Operating Account'!E37</f>
        <v/>
      </c>
      <c r="G32" s="40">
        <f>'HBL Operating Account'!F37</f>
        <v>265000</v>
      </c>
      <c r="H32" s="41" t="s">
        <v>253</v>
      </c>
      <c r="I32" s="41" t="s">
        <v>514</v>
      </c>
      <c r="J32" s="41" t="s">
        <v>515</v>
      </c>
      <c r="K32" s="41">
        <v>1029.0</v>
      </c>
      <c r="L32" s="39" t="str">
        <f t="array" ref="L32">IFERROR(XLOOKUP(K32,'Chart of Accounts'!$H$6:$H$67,'Chart of Accounts'!$I$6:$I$67),"GL not found")</f>
        <v>GL not found</v>
      </c>
      <c r="M32" s="41">
        <v>1018.0</v>
      </c>
      <c r="N32" s="39" t="str">
        <f t="array" ref="N32">IFERROR(XLOOKUP(M32,'Chart of Accounts'!$H$6:$H$67,'Chart of Accounts'!$I$6:$I$67),"GL not found")</f>
        <v>GL not found</v>
      </c>
      <c r="O32" s="41" t="s">
        <v>277</v>
      </c>
      <c r="P32" s="41" t="s">
        <v>5</v>
      </c>
      <c r="Q32" s="41" t="s">
        <v>278</v>
      </c>
      <c r="R32" s="41"/>
      <c r="S32" s="41" t="s">
        <v>279</v>
      </c>
      <c r="T32" s="41" t="s">
        <v>280</v>
      </c>
    </row>
    <row r="33" ht="15.75" customHeight="1">
      <c r="A33" s="37" t="s">
        <v>519</v>
      </c>
      <c r="B33" s="37" t="s">
        <v>252</v>
      </c>
      <c r="C33" s="38">
        <f>'HBL Operating Account'!A38</f>
        <v>45867</v>
      </c>
      <c r="D33" s="39" t="str">
        <f>'HBL Operating Account'!C38</f>
        <v>Online transfer - Legal and professional fee</v>
      </c>
      <c r="E33" s="39" t="str">
        <f>'HBL Operating Account'!D38</f>
        <v>HBL250729032</v>
      </c>
      <c r="F33" s="40">
        <f>'HBL Operating Account'!E38</f>
        <v>125000</v>
      </c>
      <c r="G33" s="40" t="str">
        <f>'HBL Operating Account'!F38</f>
        <v/>
      </c>
      <c r="H33" s="41" t="s">
        <v>520</v>
      </c>
      <c r="I33" s="41" t="s">
        <v>521</v>
      </c>
      <c r="J33" s="41" t="s">
        <v>522</v>
      </c>
      <c r="K33" s="41">
        <v>1029.0</v>
      </c>
      <c r="L33" s="39" t="str">
        <f t="array" ref="L33">IFERROR(XLOOKUP(K33,'Chart of Accounts'!$H$6:$H$67,'Chart of Accounts'!$I$6:$I$67),"GL not found")</f>
        <v>GL not found</v>
      </c>
      <c r="M33" s="41">
        <v>1060.0</v>
      </c>
      <c r="N33" s="39" t="str">
        <f t="array" ref="N33">IFERROR(XLOOKUP(M33,'Chart of Accounts'!$H$6:$H$67,'Chart of Accounts'!$I$6:$I$67),"GL not found")</f>
        <v>GL not found</v>
      </c>
      <c r="O33" s="41" t="s">
        <v>305</v>
      </c>
      <c r="P33" s="41" t="s">
        <v>5</v>
      </c>
      <c r="Q33" s="41" t="s">
        <v>278</v>
      </c>
      <c r="R33" s="41"/>
      <c r="S33" s="41" t="s">
        <v>279</v>
      </c>
      <c r="T33" s="41" t="s">
        <v>300</v>
      </c>
    </row>
    <row r="34" ht="15.75" customHeight="1">
      <c r="A34" s="37" t="s">
        <v>523</v>
      </c>
      <c r="B34" s="37" t="s">
        <v>252</v>
      </c>
      <c r="C34" s="38">
        <f>'HBL Operating Account'!A39</f>
        <v>45868</v>
      </c>
      <c r="D34" s="39" t="str">
        <f>'HBL Operating Account'!C39</f>
        <v>Profit credited on current-plus account</v>
      </c>
      <c r="E34" s="39" t="str">
        <f>'HBL Operating Account'!D39</f>
        <v>HBL250730033</v>
      </c>
      <c r="F34" s="40" t="str">
        <f>'HBL Operating Account'!E39</f>
        <v/>
      </c>
      <c r="G34" s="40">
        <f>'HBL Operating Account'!F39</f>
        <v>18450</v>
      </c>
      <c r="H34" s="41" t="s">
        <v>524</v>
      </c>
      <c r="I34" s="41" t="s">
        <v>252</v>
      </c>
      <c r="J34" s="41" t="s">
        <v>408</v>
      </c>
      <c r="K34" s="41">
        <v>1029.0</v>
      </c>
      <c r="L34" s="39" t="str">
        <f t="array" ref="L34">IFERROR(XLOOKUP(K34,'Chart of Accounts'!$H$6:$H$67,'Chart of Accounts'!$I$6:$I$67),"GL not found")</f>
        <v>GL not found</v>
      </c>
      <c r="M34" s="41">
        <v>1066.0</v>
      </c>
      <c r="N34" s="39" t="str">
        <f t="array" ref="N34">IFERROR(XLOOKUP(M34,'Chart of Accounts'!$H$6:$H$67,'Chart of Accounts'!$I$6:$I$67),"GL not found")</f>
        <v>GL not found</v>
      </c>
      <c r="O34" s="41" t="s">
        <v>526</v>
      </c>
      <c r="P34" s="41" t="s">
        <v>5</v>
      </c>
      <c r="Q34" s="41" t="s">
        <v>278</v>
      </c>
      <c r="R34" s="41"/>
      <c r="S34" s="41" t="s">
        <v>279</v>
      </c>
      <c r="T34" s="41" t="s">
        <v>280</v>
      </c>
    </row>
    <row r="35" ht="15.75" customHeight="1">
      <c r="A35" s="37" t="s">
        <v>527</v>
      </c>
      <c r="B35" s="37" t="s">
        <v>252</v>
      </c>
      <c r="C35" s="38">
        <f>'HBL Operating Account'!A40</f>
        <v>45869</v>
      </c>
      <c r="D35" s="39" t="str">
        <f>'HBL Operating Account'!C40</f>
        <v>Zakat deduction on profit account</v>
      </c>
      <c r="E35" s="39" t="str">
        <f>'HBL Operating Account'!D40</f>
        <v>HBL250731034</v>
      </c>
      <c r="F35" s="40">
        <f>'HBL Operating Account'!E40</f>
        <v>461</v>
      </c>
      <c r="G35" s="40" t="str">
        <f>'HBL Operating Account'!F40</f>
        <v/>
      </c>
      <c r="H35" s="41" t="s">
        <v>529</v>
      </c>
      <c r="I35" s="41" t="s">
        <v>252</v>
      </c>
      <c r="J35" s="41" t="s">
        <v>408</v>
      </c>
      <c r="K35" s="41">
        <v>1029.0</v>
      </c>
      <c r="L35" s="39" t="str">
        <f t="array" ref="L35">IFERROR(XLOOKUP(K35,'Chart of Accounts'!$H$6:$H$67,'Chart of Accounts'!$I$6:$I$67),"GL not found")</f>
        <v>GL not found</v>
      </c>
      <c r="M35" s="41">
        <v>1068.0</v>
      </c>
      <c r="N35" s="39" t="str">
        <f t="array" ref="N35">IFERROR(XLOOKUP(M35,'Chart of Accounts'!$H$6:$H$67,'Chart of Accounts'!$I$6:$I$67),"GL not found")</f>
        <v>GL not found</v>
      </c>
      <c r="O35" s="41" t="s">
        <v>277</v>
      </c>
      <c r="P35" s="41" t="s">
        <v>5</v>
      </c>
      <c r="Q35" s="41" t="s">
        <v>278</v>
      </c>
      <c r="R35" s="41"/>
      <c r="S35" s="41" t="s">
        <v>279</v>
      </c>
      <c r="T35" s="41" t="s">
        <v>300</v>
      </c>
    </row>
    <row r="36" ht="15.75" customHeight="1">
      <c r="A36" s="37" t="s">
        <v>531</v>
      </c>
      <c r="B36" s="37" t="s">
        <v>252</v>
      </c>
      <c r="C36" s="38">
        <f>'HBL Operating Account'!A41</f>
        <v>45869</v>
      </c>
      <c r="D36" s="39" t="str">
        <f>'HBL Operating Account'!C41</f>
        <v>Advance tax on bank profit</v>
      </c>
      <c r="E36" s="39" t="str">
        <f>'HBL Operating Account'!D41</f>
        <v>HBL250731035</v>
      </c>
      <c r="F36" s="40">
        <f>'HBL Operating Account'!E41</f>
        <v>2768</v>
      </c>
      <c r="G36" s="40" t="str">
        <f>'HBL Operating Account'!F41</f>
        <v/>
      </c>
      <c r="H36" s="41" t="s">
        <v>473</v>
      </c>
      <c r="I36" s="41" t="s">
        <v>447</v>
      </c>
      <c r="J36" s="41" t="s">
        <v>408</v>
      </c>
      <c r="K36" s="41">
        <v>1029.0</v>
      </c>
      <c r="L36" s="39" t="str">
        <f t="array" ref="L36">IFERROR(XLOOKUP(K36,'Chart of Accounts'!$H$6:$H$67,'Chart of Accounts'!$I$6:$I$67),"GL not found")</f>
        <v>GL not found</v>
      </c>
      <c r="M36" s="41">
        <v>1045.0</v>
      </c>
      <c r="N36" s="39" t="str">
        <f t="array" ref="N36">IFERROR(XLOOKUP(M36,'Chart of Accounts'!$H$6:$H$67,'Chart of Accounts'!$I$6:$I$67),"GL not found")</f>
        <v>GL not found</v>
      </c>
      <c r="O36" s="41" t="s">
        <v>534</v>
      </c>
      <c r="P36" s="41" t="s">
        <v>5</v>
      </c>
      <c r="Q36" s="41" t="s">
        <v>278</v>
      </c>
      <c r="R36" s="41"/>
      <c r="S36" s="41" t="s">
        <v>279</v>
      </c>
      <c r="T36" s="41" t="s">
        <v>300</v>
      </c>
    </row>
    <row r="37" ht="15.75" customHeight="1">
      <c r="A37" s="37" t="s">
        <v>535</v>
      </c>
      <c r="B37" s="37" t="s">
        <v>536</v>
      </c>
      <c r="C37" s="38">
        <f>'Meezan Payroll Account'!A8</f>
        <v>45839</v>
      </c>
      <c r="D37" s="39" t="str">
        <f>'Meezan Payroll Account'!C8</f>
        <v>Opening-month cash deposit - payroll adjustments</v>
      </c>
      <c r="E37" s="39" t="str">
        <f>'Meezan Payroll Account'!D8</f>
        <v>MBL250701001</v>
      </c>
      <c r="F37" s="40" t="str">
        <f>'Meezan Payroll Account'!E8</f>
        <v/>
      </c>
      <c r="G37" s="40">
        <f>'Meezan Payroll Account'!F8</f>
        <v>25000</v>
      </c>
      <c r="H37" s="41" t="s">
        <v>538</v>
      </c>
      <c r="I37" s="41" t="s">
        <v>539</v>
      </c>
      <c r="J37" s="41" t="s">
        <v>540</v>
      </c>
      <c r="K37" s="41">
        <v>1030.0</v>
      </c>
      <c r="L37" s="39" t="str">
        <f t="array" ref="L37">IFERROR(XLOOKUP(K37,'Chart of Accounts'!$H$6:$H$67,'Chart of Accounts'!$I$6:$I$67),"GL not found")</f>
        <v>GL not found</v>
      </c>
      <c r="M37" s="41">
        <v>1034.0</v>
      </c>
      <c r="N37" s="39" t="str">
        <f t="array" ref="N37">IFERROR(XLOOKUP(M37,'Chart of Accounts'!$H$6:$H$67,'Chart of Accounts'!$I$6:$I$67),"GL not found")</f>
        <v>GL not found</v>
      </c>
      <c r="O37" s="41" t="s">
        <v>277</v>
      </c>
      <c r="P37" s="41" t="s">
        <v>5</v>
      </c>
      <c r="Q37" s="41" t="s">
        <v>278</v>
      </c>
      <c r="R37" s="41"/>
      <c r="S37" s="41" t="s">
        <v>279</v>
      </c>
      <c r="T37" s="41" t="s">
        <v>280</v>
      </c>
    </row>
    <row r="38" ht="15.75" customHeight="1">
      <c r="A38" s="37" t="s">
        <v>541</v>
      </c>
      <c r="B38" s="37" t="s">
        <v>536</v>
      </c>
      <c r="C38" s="38">
        <f>'Meezan Payroll Account'!A9</f>
        <v>45840</v>
      </c>
      <c r="D38" s="39" t="str">
        <f>'Meezan Payroll Account'!C9</f>
        <v>IBFT - Employee reimbursement - A. Khan</v>
      </c>
      <c r="E38" s="39" t="str">
        <f>'Meezan Payroll Account'!D9</f>
        <v>MBL250702002</v>
      </c>
      <c r="F38" s="40">
        <f>'Meezan Payroll Account'!E9</f>
        <v>18500</v>
      </c>
      <c r="G38" s="40" t="str">
        <f>'Meezan Payroll Account'!F9</f>
        <v/>
      </c>
      <c r="H38" s="41" t="s">
        <v>542</v>
      </c>
      <c r="I38" s="41" t="s">
        <v>544</v>
      </c>
      <c r="J38" s="41" t="s">
        <v>545</v>
      </c>
      <c r="K38" s="41">
        <v>1030.0</v>
      </c>
      <c r="L38" s="39" t="str">
        <f t="array" ref="L38">IFERROR(XLOOKUP(K38,'Chart of Accounts'!$H$6:$H$67,'Chart of Accounts'!$I$6:$I$67),"GL not found")</f>
        <v>GL not found</v>
      </c>
      <c r="M38" s="41">
        <v>1068.0</v>
      </c>
      <c r="N38" s="39" t="str">
        <f t="array" ref="N38">IFERROR(XLOOKUP(M38,'Chart of Accounts'!$H$6:$H$67,'Chart of Accounts'!$I$6:$I$67),"GL not found")</f>
        <v>GL not found</v>
      </c>
      <c r="O38" s="41" t="s">
        <v>277</v>
      </c>
      <c r="P38" s="41" t="s">
        <v>5</v>
      </c>
      <c r="Q38" s="41" t="s">
        <v>278</v>
      </c>
      <c r="R38" s="41"/>
      <c r="S38" s="41" t="s">
        <v>279</v>
      </c>
      <c r="T38" s="41" t="s">
        <v>300</v>
      </c>
    </row>
    <row r="39" ht="15.75" customHeight="1">
      <c r="A39" s="37" t="s">
        <v>547</v>
      </c>
      <c r="B39" s="37" t="s">
        <v>536</v>
      </c>
      <c r="C39" s="38">
        <f>'Meezan Payroll Account'!A10</f>
        <v>45841</v>
      </c>
      <c r="D39" s="39" t="str">
        <f>'Meezan Payroll Account'!C10</f>
        <v>IBFT - Rider incentive batch 01</v>
      </c>
      <c r="E39" s="39" t="str">
        <f>'Meezan Payroll Account'!D10</f>
        <v>MBL250703003</v>
      </c>
      <c r="F39" s="40">
        <f>'Meezan Payroll Account'!E10</f>
        <v>96500</v>
      </c>
      <c r="G39" s="40" t="str">
        <f>'Meezan Payroll Account'!F10</f>
        <v/>
      </c>
      <c r="H39" s="41" t="s">
        <v>551</v>
      </c>
      <c r="I39" s="41" t="s">
        <v>552</v>
      </c>
      <c r="J39" s="41" t="s">
        <v>553</v>
      </c>
      <c r="K39" s="41">
        <v>1030.0</v>
      </c>
      <c r="L39" s="39" t="str">
        <f t="array" ref="L39">IFERROR(XLOOKUP(K39,'Chart of Accounts'!$H$6:$H$67,'Chart of Accounts'!$I$6:$I$67),"GL not found")</f>
        <v>GL not found</v>
      </c>
      <c r="M39" s="41">
        <v>1056.0</v>
      </c>
      <c r="N39" s="39" t="str">
        <f t="array" ref="N39">IFERROR(XLOOKUP(M39,'Chart of Accounts'!$H$6:$H$67,'Chart of Accounts'!$I$6:$I$67),"GL not found")</f>
        <v>GL not found</v>
      </c>
      <c r="O39" s="41" t="s">
        <v>347</v>
      </c>
      <c r="P39" s="41" t="s">
        <v>5</v>
      </c>
      <c r="Q39" s="41" t="s">
        <v>278</v>
      </c>
      <c r="R39" s="41"/>
      <c r="S39" s="41" t="s">
        <v>279</v>
      </c>
      <c r="T39" s="41" t="s">
        <v>300</v>
      </c>
    </row>
    <row r="40" ht="15.75" customHeight="1">
      <c r="A40" s="37" t="s">
        <v>556</v>
      </c>
      <c r="B40" s="37" t="s">
        <v>536</v>
      </c>
      <c r="C40" s="38">
        <f>'Meezan Payroll Account'!A11</f>
        <v>45842</v>
      </c>
      <c r="D40" s="39" t="str">
        <f>'Meezan Payroll Account'!C11</f>
        <v>Online payment - EOBI contribution June</v>
      </c>
      <c r="E40" s="39" t="str">
        <f>'Meezan Payroll Account'!D11</f>
        <v>MBL250704004</v>
      </c>
      <c r="F40" s="40">
        <f>'Meezan Payroll Account'!E11</f>
        <v>68400</v>
      </c>
      <c r="G40" s="40" t="str">
        <f>'Meezan Payroll Account'!F11</f>
        <v/>
      </c>
      <c r="H40" s="41" t="s">
        <v>559</v>
      </c>
      <c r="I40" s="41" t="s">
        <v>560</v>
      </c>
      <c r="J40" s="41" t="s">
        <v>561</v>
      </c>
      <c r="K40" s="41">
        <v>1030.0</v>
      </c>
      <c r="L40" s="39" t="str">
        <f t="array" ref="L40">IFERROR(XLOOKUP(K40,'Chart of Accounts'!$H$6:$H$67,'Chart of Accounts'!$I$6:$I$67),"GL not found")</f>
        <v>GL not found</v>
      </c>
      <c r="M40" s="41">
        <v>1034.0</v>
      </c>
      <c r="N40" s="39" t="str">
        <f t="array" ref="N40">IFERROR(XLOOKUP(M40,'Chart of Accounts'!$H$6:$H$67,'Chart of Accounts'!$I$6:$I$67),"GL not found")</f>
        <v>GL not found</v>
      </c>
      <c r="O40" s="41" t="s">
        <v>564</v>
      </c>
      <c r="P40" s="41" t="s">
        <v>5</v>
      </c>
      <c r="Q40" s="41" t="s">
        <v>278</v>
      </c>
      <c r="R40" s="41"/>
      <c r="S40" s="41" t="s">
        <v>279</v>
      </c>
      <c r="T40" s="41" t="s">
        <v>300</v>
      </c>
    </row>
    <row r="41" ht="15.75" customHeight="1">
      <c r="A41" s="37" t="s">
        <v>565</v>
      </c>
      <c r="B41" s="37" t="s">
        <v>536</v>
      </c>
      <c r="C41" s="38">
        <f>'Meezan Payroll Account'!A12</f>
        <v>45843</v>
      </c>
      <c r="D41" s="39" t="str">
        <f>'Meezan Payroll Account'!C12</f>
        <v>Online payment - Social Security contribution June</v>
      </c>
      <c r="E41" s="39" t="str">
        <f>'Meezan Payroll Account'!D12</f>
        <v>MBL250705005</v>
      </c>
      <c r="F41" s="40">
        <f>'Meezan Payroll Account'!E12</f>
        <v>42750</v>
      </c>
      <c r="G41" s="40" t="str">
        <f>'Meezan Payroll Account'!F12</f>
        <v/>
      </c>
      <c r="H41" s="41" t="s">
        <v>559</v>
      </c>
      <c r="I41" s="41" t="s">
        <v>566</v>
      </c>
      <c r="J41" s="41" t="s">
        <v>567</v>
      </c>
      <c r="K41" s="41">
        <v>1030.0</v>
      </c>
      <c r="L41" s="39" t="str">
        <f t="array" ref="L41">IFERROR(XLOOKUP(K41,'Chart of Accounts'!$H$6:$H$67,'Chart of Accounts'!$I$6:$I$67),"GL not found")</f>
        <v>GL not found</v>
      </c>
      <c r="M41" s="41">
        <v>1034.0</v>
      </c>
      <c r="N41" s="39" t="str">
        <f t="array" ref="N41">IFERROR(XLOOKUP(M41,'Chart of Accounts'!$H$6:$H$67,'Chart of Accounts'!$I$6:$I$67),"GL not found")</f>
        <v>GL not found</v>
      </c>
      <c r="O41" s="41" t="s">
        <v>564</v>
      </c>
      <c r="P41" s="41" t="s">
        <v>5</v>
      </c>
      <c r="Q41" s="41" t="s">
        <v>278</v>
      </c>
      <c r="R41" s="41"/>
      <c r="S41" s="41" t="s">
        <v>279</v>
      </c>
      <c r="T41" s="41" t="s">
        <v>300</v>
      </c>
    </row>
    <row r="42" ht="15.75" customHeight="1">
      <c r="A42" s="37" t="s">
        <v>571</v>
      </c>
      <c r="B42" s="37" t="s">
        <v>536</v>
      </c>
      <c r="C42" s="38">
        <f>'Meezan Payroll Account'!A13</f>
        <v>45845</v>
      </c>
      <c r="D42" s="39" t="str">
        <f>'Meezan Payroll Account'!C13</f>
        <v>Incoming IBFT from HBL operating account</v>
      </c>
      <c r="E42" s="39" t="str">
        <f>'Meezan Payroll Account'!D13</f>
        <v>MBL250707006</v>
      </c>
      <c r="F42" s="40" t="str">
        <f>'Meezan Payroll Account'!E13</f>
        <v/>
      </c>
      <c r="G42" s="40">
        <f>'Meezan Payroll Account'!F13</f>
        <v>850000</v>
      </c>
      <c r="H42" s="41" t="s">
        <v>380</v>
      </c>
      <c r="I42" s="41" t="s">
        <v>573</v>
      </c>
      <c r="J42" s="41" t="s">
        <v>382</v>
      </c>
      <c r="K42" s="41">
        <v>1030.0</v>
      </c>
      <c r="L42" s="39" t="str">
        <f t="array" ref="L42">IFERROR(XLOOKUP(K42,'Chart of Accounts'!$H$6:$H$67,'Chart of Accounts'!$I$6:$I$67),"GL not found")</f>
        <v>GL not found</v>
      </c>
      <c r="M42" s="41">
        <v>1029.0</v>
      </c>
      <c r="N42" s="39" t="str">
        <f t="array" ref="N42">IFERROR(XLOOKUP(M42,'Chart of Accounts'!$H$6:$H$67,'Chart of Accounts'!$I$6:$I$67),"GL not found")</f>
        <v>GL not found</v>
      </c>
      <c r="O42" s="41" t="s">
        <v>277</v>
      </c>
      <c r="P42" s="41" t="s">
        <v>5</v>
      </c>
      <c r="Q42" s="41" t="s">
        <v>278</v>
      </c>
      <c r="R42" s="41" t="s">
        <v>384</v>
      </c>
      <c r="S42" s="41" t="s">
        <v>576</v>
      </c>
      <c r="T42" s="41" t="s">
        <v>385</v>
      </c>
    </row>
    <row r="43" ht="15.75" customHeight="1">
      <c r="A43" s="37" t="s">
        <v>577</v>
      </c>
      <c r="B43" s="37" t="s">
        <v>536</v>
      </c>
      <c r="C43" s="38">
        <f>'Meezan Payroll Account'!A14</f>
        <v>45845</v>
      </c>
      <c r="D43" s="39" t="str">
        <f>'Meezan Payroll Account'!C14</f>
        <v>Bulk salary transfer - July payroll batch A</v>
      </c>
      <c r="E43" s="39" t="str">
        <f>'Meezan Payroll Account'!D14</f>
        <v>PAY250707A</v>
      </c>
      <c r="F43" s="40">
        <f>'Meezan Payroll Account'!E14</f>
        <v>625000</v>
      </c>
      <c r="G43" s="40" t="str">
        <f>'Meezan Payroll Account'!F14</f>
        <v/>
      </c>
      <c r="H43" s="41" t="s">
        <v>580</v>
      </c>
      <c r="I43" s="41" t="s">
        <v>581</v>
      </c>
      <c r="J43" s="41" t="s">
        <v>582</v>
      </c>
      <c r="K43" s="41">
        <v>1030.0</v>
      </c>
      <c r="L43" s="39" t="str">
        <f t="array" ref="L43">IFERROR(XLOOKUP(K43,'Chart of Accounts'!$H$6:$H$67,'Chart of Accounts'!$I$6:$I$67),"GL not found")</f>
        <v>GL not found</v>
      </c>
      <c r="M43" s="41">
        <v>1034.0</v>
      </c>
      <c r="N43" s="39" t="str">
        <f t="array" ref="N43">IFERROR(XLOOKUP(M43,'Chart of Accounts'!$H$6:$H$67,'Chart of Accounts'!$I$6:$I$67),"GL not found")</f>
        <v>GL not found</v>
      </c>
      <c r="O43" s="41" t="s">
        <v>347</v>
      </c>
      <c r="P43" s="41" t="s">
        <v>5</v>
      </c>
      <c r="Q43" s="41" t="s">
        <v>278</v>
      </c>
      <c r="R43" s="41"/>
      <c r="S43" s="41" t="s">
        <v>279</v>
      </c>
      <c r="T43" s="41" t="s">
        <v>300</v>
      </c>
    </row>
    <row r="44" ht="15.75" customHeight="1">
      <c r="A44" s="37" t="s">
        <v>584</v>
      </c>
      <c r="B44" s="37" t="s">
        <v>536</v>
      </c>
      <c r="C44" s="38">
        <f>'Meezan Payroll Account'!A15</f>
        <v>45845</v>
      </c>
      <c r="D44" s="39" t="str">
        <f>'Meezan Payroll Account'!C15</f>
        <v>Payroll processing charges</v>
      </c>
      <c r="E44" s="39" t="str">
        <f>'Meezan Payroll Account'!D15</f>
        <v>MBL250707008</v>
      </c>
      <c r="F44" s="40">
        <f>'Meezan Payroll Account'!E15</f>
        <v>3750</v>
      </c>
      <c r="G44" s="40" t="str">
        <f>'Meezan Payroll Account'!F15</f>
        <v/>
      </c>
      <c r="H44" s="41" t="s">
        <v>407</v>
      </c>
      <c r="I44" s="41" t="s">
        <v>586</v>
      </c>
      <c r="J44" s="41" t="s">
        <v>408</v>
      </c>
      <c r="K44" s="41">
        <v>1030.0</v>
      </c>
      <c r="L44" s="39" t="str">
        <f t="array" ref="L44">IFERROR(XLOOKUP(K44,'Chart of Accounts'!$H$6:$H$67,'Chart of Accounts'!$I$6:$I$67),"GL not found")</f>
        <v>GL not found</v>
      </c>
      <c r="M44" s="41">
        <v>1057.0</v>
      </c>
      <c r="N44" s="39" t="str">
        <f t="array" ref="N44">IFERROR(XLOOKUP(M44,'Chart of Accounts'!$H$6:$H$67,'Chart of Accounts'!$I$6:$I$67),"GL not found")</f>
        <v>GL not found</v>
      </c>
      <c r="O44" s="41" t="s">
        <v>277</v>
      </c>
      <c r="P44" s="41" t="s">
        <v>5</v>
      </c>
      <c r="Q44" s="41" t="s">
        <v>278</v>
      </c>
      <c r="R44" s="41"/>
      <c r="S44" s="41" t="s">
        <v>279</v>
      </c>
      <c r="T44" s="41" t="s">
        <v>300</v>
      </c>
    </row>
    <row r="45" ht="15.75" customHeight="1">
      <c r="A45" s="37" t="s">
        <v>590</v>
      </c>
      <c r="B45" s="37" t="s">
        <v>536</v>
      </c>
      <c r="C45" s="38">
        <f>'Meezan Payroll Account'!A16</f>
        <v>45845</v>
      </c>
      <c r="D45" s="39" t="str">
        <f>'Meezan Payroll Account'!C16</f>
        <v>FED on payroll processing charges</v>
      </c>
      <c r="E45" s="39" t="str">
        <f>'Meezan Payroll Account'!D16</f>
        <v>MBL250707009</v>
      </c>
      <c r="F45" s="40">
        <f>'Meezan Payroll Account'!E16</f>
        <v>600</v>
      </c>
      <c r="G45" s="40" t="str">
        <f>'Meezan Payroll Account'!F16</f>
        <v/>
      </c>
      <c r="H45" s="41" t="s">
        <v>446</v>
      </c>
      <c r="I45" s="41" t="s">
        <v>591</v>
      </c>
      <c r="J45" s="41" t="s">
        <v>408</v>
      </c>
      <c r="K45" s="41">
        <v>1030.0</v>
      </c>
      <c r="L45" s="39" t="str">
        <f t="array" ref="L45">IFERROR(XLOOKUP(K45,'Chart of Accounts'!$H$6:$H$67,'Chart of Accounts'!$I$6:$I$67),"GL not found")</f>
        <v>GL not found</v>
      </c>
      <c r="M45" s="41">
        <v>1068.0</v>
      </c>
      <c r="N45" s="39" t="str">
        <f t="array" ref="N45">IFERROR(XLOOKUP(M45,'Chart of Accounts'!$H$6:$H$67,'Chart of Accounts'!$I$6:$I$67),"GL not found")</f>
        <v>GL not found</v>
      </c>
      <c r="O45" s="41" t="s">
        <v>448</v>
      </c>
      <c r="P45" s="41" t="s">
        <v>5</v>
      </c>
      <c r="Q45" s="41" t="s">
        <v>278</v>
      </c>
      <c r="R45" s="41"/>
      <c r="S45" s="41" t="s">
        <v>279</v>
      </c>
      <c r="T45" s="41" t="s">
        <v>300</v>
      </c>
    </row>
    <row r="46" ht="15.75" customHeight="1">
      <c r="A46" s="37" t="s">
        <v>594</v>
      </c>
      <c r="B46" s="37" t="s">
        <v>536</v>
      </c>
      <c r="C46" s="38">
        <f>'Meezan Payroll Account'!A17</f>
        <v>45846</v>
      </c>
      <c r="D46" s="39" t="str">
        <f>'Meezan Payroll Account'!C17</f>
        <v>IBFT - Employee advance - M. Usman</v>
      </c>
      <c r="E46" s="39" t="str">
        <f>'Meezan Payroll Account'!D17</f>
        <v>MBL250708010</v>
      </c>
      <c r="F46" s="40">
        <f>'Meezan Payroll Account'!E17</f>
        <v>30000</v>
      </c>
      <c r="G46" s="40" t="str">
        <f>'Meezan Payroll Account'!F17</f>
        <v/>
      </c>
      <c r="H46" s="41" t="s">
        <v>599</v>
      </c>
      <c r="I46" s="41" t="s">
        <v>600</v>
      </c>
      <c r="J46" s="41" t="s">
        <v>601</v>
      </c>
      <c r="K46" s="41">
        <v>1030.0</v>
      </c>
      <c r="L46" s="39" t="str">
        <f t="array" ref="L46">IFERROR(XLOOKUP(K46,'Chart of Accounts'!$H$6:$H$67,'Chart of Accounts'!$I$6:$I$67),"GL not found")</f>
        <v>GL not found</v>
      </c>
      <c r="M46" s="41">
        <v>1025.0</v>
      </c>
      <c r="N46" s="39" t="str">
        <f t="array" ref="N46">IFERROR(XLOOKUP(M46,'Chart of Accounts'!$H$6:$H$67,'Chart of Accounts'!$I$6:$I$67),"GL not found")</f>
        <v>GL not found</v>
      </c>
      <c r="O46" s="41" t="s">
        <v>277</v>
      </c>
      <c r="P46" s="41" t="s">
        <v>5</v>
      </c>
      <c r="Q46" s="41" t="s">
        <v>278</v>
      </c>
      <c r="R46" s="41"/>
      <c r="S46" s="41" t="s">
        <v>279</v>
      </c>
      <c r="T46" s="41" t="s">
        <v>300</v>
      </c>
    </row>
    <row r="47" ht="15.75" customHeight="1">
      <c r="A47" s="37" t="s">
        <v>607</v>
      </c>
      <c r="B47" s="37" t="s">
        <v>536</v>
      </c>
      <c r="C47" s="38">
        <f>'Meezan Payroll Account'!A18</f>
        <v>45848</v>
      </c>
      <c r="D47" s="39" t="str">
        <f>'Meezan Payroll Account'!C18</f>
        <v>Bulk transfer - Contract drivers settlement W27</v>
      </c>
      <c r="E47" s="39" t="str">
        <f>'Meezan Payroll Account'!D18</f>
        <v>MBL250710011</v>
      </c>
      <c r="F47" s="40">
        <f>'Meezan Payroll Account'!E18</f>
        <v>156000</v>
      </c>
      <c r="G47" s="40" t="str">
        <f>'Meezan Payroll Account'!F18</f>
        <v/>
      </c>
      <c r="H47" s="41" t="s">
        <v>608</v>
      </c>
      <c r="I47" s="41" t="s">
        <v>609</v>
      </c>
      <c r="J47" s="41" t="s">
        <v>610</v>
      </c>
      <c r="K47" s="41">
        <v>1030.0</v>
      </c>
      <c r="L47" s="39" t="str">
        <f t="array" ref="L47">IFERROR(XLOOKUP(K47,'Chart of Accounts'!$H$6:$H$67,'Chart of Accounts'!$I$6:$I$67),"GL not found")</f>
        <v>GL not found</v>
      </c>
      <c r="M47" s="41">
        <v>1054.0</v>
      </c>
      <c r="N47" s="39" t="str">
        <f t="array" ref="N47">IFERROR(XLOOKUP(M47,'Chart of Accounts'!$H$6:$H$67,'Chart of Accounts'!$I$6:$I$67),"GL not found")</f>
        <v>GL not found</v>
      </c>
      <c r="O47" s="41" t="s">
        <v>305</v>
      </c>
      <c r="P47" s="41" t="s">
        <v>5</v>
      </c>
      <c r="Q47" s="41" t="s">
        <v>278</v>
      </c>
      <c r="R47" s="41"/>
      <c r="S47" s="41" t="s">
        <v>279</v>
      </c>
      <c r="T47" s="41" t="s">
        <v>300</v>
      </c>
    </row>
    <row r="48" ht="15.75" customHeight="1">
      <c r="A48" s="37" t="s">
        <v>611</v>
      </c>
      <c r="B48" s="37" t="s">
        <v>536</v>
      </c>
      <c r="C48" s="38">
        <f>'Meezan Payroll Account'!A19</f>
        <v>45849</v>
      </c>
      <c r="D48" s="39" t="str">
        <f>'Meezan Payroll Account'!C19</f>
        <v>Raast reversal - failed driver payment W27</v>
      </c>
      <c r="E48" s="39" t="str">
        <f>'Meezan Payroll Account'!D19</f>
        <v>MBL250711012</v>
      </c>
      <c r="F48" s="40" t="str">
        <f>'Meezan Payroll Account'!E19</f>
        <v/>
      </c>
      <c r="G48" s="40">
        <f>'Meezan Payroll Account'!F19</f>
        <v>12000</v>
      </c>
      <c r="H48" s="41" t="s">
        <v>613</v>
      </c>
      <c r="I48" s="41" t="s">
        <v>609</v>
      </c>
      <c r="J48" s="41" t="s">
        <v>614</v>
      </c>
      <c r="K48" s="41">
        <v>1030.0</v>
      </c>
      <c r="L48" s="39" t="str">
        <f t="array" ref="L48">IFERROR(XLOOKUP(K48,'Chart of Accounts'!$H$6:$H$67,'Chart of Accounts'!$I$6:$I$67),"GL not found")</f>
        <v>GL not found</v>
      </c>
      <c r="M48" s="41">
        <v>1054.0</v>
      </c>
      <c r="N48" s="39" t="str">
        <f t="array" ref="N48">IFERROR(XLOOKUP(M48,'Chart of Accounts'!$H$6:$H$67,'Chart of Accounts'!$I$6:$I$67),"GL not found")</f>
        <v>GL not found</v>
      </c>
      <c r="O48" s="41" t="s">
        <v>277</v>
      </c>
      <c r="P48" s="41" t="s">
        <v>5</v>
      </c>
      <c r="Q48" s="41" t="s">
        <v>278</v>
      </c>
      <c r="R48" s="41"/>
      <c r="S48" s="41" t="s">
        <v>279</v>
      </c>
      <c r="T48" s="41" t="s">
        <v>280</v>
      </c>
    </row>
    <row r="49" ht="15.75" customHeight="1">
      <c r="A49" s="37" t="s">
        <v>616</v>
      </c>
      <c r="B49" s="37" t="s">
        <v>536</v>
      </c>
      <c r="C49" s="38">
        <f>'Meezan Payroll Account'!A20</f>
        <v>45850</v>
      </c>
      <c r="D49" s="39" t="str">
        <f>'Meezan Payroll Account'!C20</f>
        <v>Raast retry - driver payment W27</v>
      </c>
      <c r="E49" s="39" t="str">
        <f>'Meezan Payroll Account'!D20</f>
        <v>MBL250712013</v>
      </c>
      <c r="F49" s="40">
        <f>'Meezan Payroll Account'!E20</f>
        <v>12000</v>
      </c>
      <c r="G49" s="40" t="str">
        <f>'Meezan Payroll Account'!F20</f>
        <v/>
      </c>
      <c r="H49" s="41" t="s">
        <v>608</v>
      </c>
      <c r="I49" s="41" t="s">
        <v>609</v>
      </c>
      <c r="J49" s="41" t="s">
        <v>617</v>
      </c>
      <c r="K49" s="41">
        <v>1030.0</v>
      </c>
      <c r="L49" s="39" t="str">
        <f t="array" ref="L49">IFERROR(XLOOKUP(K49,'Chart of Accounts'!$H$6:$H$67,'Chart of Accounts'!$I$6:$I$67),"GL not found")</f>
        <v>GL not found</v>
      </c>
      <c r="M49" s="41">
        <v>1054.0</v>
      </c>
      <c r="N49" s="39" t="str">
        <f t="array" ref="N49">IFERROR(XLOOKUP(M49,'Chart of Accounts'!$H$6:$H$67,'Chart of Accounts'!$I$6:$I$67),"GL not found")</f>
        <v>GL not found</v>
      </c>
      <c r="O49" s="41" t="s">
        <v>305</v>
      </c>
      <c r="P49" s="41" t="s">
        <v>5</v>
      </c>
      <c r="Q49" s="41" t="s">
        <v>278</v>
      </c>
      <c r="R49" s="41"/>
      <c r="S49" s="41" t="s">
        <v>279</v>
      </c>
      <c r="T49" s="41" t="s">
        <v>300</v>
      </c>
    </row>
    <row r="50" ht="15.75" customHeight="1">
      <c r="A50" s="37" t="s">
        <v>621</v>
      </c>
      <c r="B50" s="37" t="s">
        <v>536</v>
      </c>
      <c r="C50" s="38">
        <f>'Meezan Payroll Account'!A21</f>
        <v>45852</v>
      </c>
      <c r="D50" s="39" t="str">
        <f>'Meezan Payroll Account'!C21</f>
        <v>IBFT - Staff travel advance - Lahore operations</v>
      </c>
      <c r="E50" s="39" t="str">
        <f>'Meezan Payroll Account'!D21</f>
        <v>MBL250714014</v>
      </c>
      <c r="F50" s="40">
        <f>'Meezan Payroll Account'!E21</f>
        <v>45000</v>
      </c>
      <c r="G50" s="40" t="str">
        <f>'Meezan Payroll Account'!F21</f>
        <v/>
      </c>
      <c r="H50" s="41" t="s">
        <v>622</v>
      </c>
      <c r="I50" s="41" t="s">
        <v>623</v>
      </c>
      <c r="J50" s="41" t="s">
        <v>601</v>
      </c>
      <c r="K50" s="41">
        <v>1030.0</v>
      </c>
      <c r="L50" s="39" t="str">
        <f t="array" ref="L50">IFERROR(XLOOKUP(K50,'Chart of Accounts'!$H$6:$H$67,'Chart of Accounts'!$I$6:$I$67),"GL not found")</f>
        <v>GL not found</v>
      </c>
      <c r="M50" s="41">
        <v>1025.0</v>
      </c>
      <c r="N50" s="39" t="str">
        <f t="array" ref="N50">IFERROR(XLOOKUP(M50,'Chart of Accounts'!$H$6:$H$67,'Chart of Accounts'!$I$6:$I$67),"GL not found")</f>
        <v>GL not found</v>
      </c>
      <c r="O50" s="41" t="s">
        <v>277</v>
      </c>
      <c r="P50" s="41" t="s">
        <v>5</v>
      </c>
      <c r="Q50" s="41" t="s">
        <v>278</v>
      </c>
      <c r="R50" s="41"/>
      <c r="S50" s="41" t="s">
        <v>279</v>
      </c>
      <c r="T50" s="41" t="s">
        <v>300</v>
      </c>
    </row>
    <row r="51" ht="15.75" customHeight="1">
      <c r="A51" s="37" t="s">
        <v>624</v>
      </c>
      <c r="B51" s="37" t="s">
        <v>536</v>
      </c>
      <c r="C51" s="38">
        <f>'Meezan Payroll Account'!A22</f>
        <v>45854</v>
      </c>
      <c r="D51" s="39" t="str">
        <f>'Meezan Payroll Account'!C22</f>
        <v>Cash deposit - unused staff advance returned</v>
      </c>
      <c r="E51" s="39" t="str">
        <f>'Meezan Payroll Account'!D22</f>
        <v>CD250716</v>
      </c>
      <c r="F51" s="40" t="str">
        <f>'Meezan Payroll Account'!E22</f>
        <v/>
      </c>
      <c r="G51" s="40">
        <f>'Meezan Payroll Account'!F22</f>
        <v>7500</v>
      </c>
      <c r="H51" s="41" t="s">
        <v>625</v>
      </c>
      <c r="I51" s="41" t="s">
        <v>626</v>
      </c>
      <c r="J51" s="41" t="s">
        <v>540</v>
      </c>
      <c r="K51" s="41">
        <v>1030.0</v>
      </c>
      <c r="L51" s="39" t="str">
        <f t="array" ref="L51">IFERROR(XLOOKUP(K51,'Chart of Accounts'!$H$6:$H$67,'Chart of Accounts'!$I$6:$I$67),"GL not found")</f>
        <v>GL not found</v>
      </c>
      <c r="M51" s="41">
        <v>1025.0</v>
      </c>
      <c r="N51" s="39" t="str">
        <f t="array" ref="N51">IFERROR(XLOOKUP(M51,'Chart of Accounts'!$H$6:$H$67,'Chart of Accounts'!$I$6:$I$67),"GL not found")</f>
        <v>GL not found</v>
      </c>
      <c r="O51" s="41" t="s">
        <v>277</v>
      </c>
      <c r="P51" s="41" t="s">
        <v>5</v>
      </c>
      <c r="Q51" s="41" t="s">
        <v>278</v>
      </c>
      <c r="R51" s="41"/>
      <c r="S51" s="41" t="s">
        <v>279</v>
      </c>
      <c r="T51" s="41" t="s">
        <v>280</v>
      </c>
    </row>
    <row r="52" ht="15.75" customHeight="1">
      <c r="A52" s="37" t="s">
        <v>628</v>
      </c>
      <c r="B52" s="37" t="s">
        <v>536</v>
      </c>
      <c r="C52" s="38">
        <f>'Meezan Payroll Account'!A23</f>
        <v>45856</v>
      </c>
      <c r="D52" s="39" t="str">
        <f>'Meezan Payroll Account'!C23</f>
        <v>Bulk transfer - Contract drivers settlement W28</v>
      </c>
      <c r="E52" s="39" t="str">
        <f>'Meezan Payroll Account'!D23</f>
        <v>MBL250718016</v>
      </c>
      <c r="F52" s="40">
        <f>'Meezan Payroll Account'!E23</f>
        <v>142500</v>
      </c>
      <c r="G52" s="40" t="str">
        <f>'Meezan Payroll Account'!F23</f>
        <v/>
      </c>
      <c r="H52" s="41" t="s">
        <v>608</v>
      </c>
      <c r="I52" s="41" t="s">
        <v>609</v>
      </c>
      <c r="J52" s="41" t="s">
        <v>629</v>
      </c>
      <c r="K52" s="41">
        <v>1030.0</v>
      </c>
      <c r="L52" s="39" t="str">
        <f t="array" ref="L52">IFERROR(XLOOKUP(K52,'Chart of Accounts'!$H$6:$H$67,'Chart of Accounts'!$I$6:$I$67),"GL not found")</f>
        <v>GL not found</v>
      </c>
      <c r="M52" s="41">
        <v>1054.0</v>
      </c>
      <c r="N52" s="39" t="str">
        <f t="array" ref="N52">IFERROR(XLOOKUP(M52,'Chart of Accounts'!$H$6:$H$67,'Chart of Accounts'!$I$6:$I$67),"GL not found")</f>
        <v>GL not found</v>
      </c>
      <c r="O52" s="41" t="s">
        <v>305</v>
      </c>
      <c r="P52" s="41" t="s">
        <v>5</v>
      </c>
      <c r="Q52" s="41" t="s">
        <v>278</v>
      </c>
      <c r="R52" s="41"/>
      <c r="S52" s="41" t="s">
        <v>279</v>
      </c>
      <c r="T52" s="41" t="s">
        <v>300</v>
      </c>
    </row>
    <row r="53" ht="15.75" customHeight="1">
      <c r="A53" s="37" t="s">
        <v>632</v>
      </c>
      <c r="B53" s="37" t="s">
        <v>536</v>
      </c>
      <c r="C53" s="38">
        <f>'Meezan Payroll Account'!A24</f>
        <v>45859</v>
      </c>
      <c r="D53" s="39" t="str">
        <f>'Meezan Payroll Account'!C24</f>
        <v>Incoming IBFT from HBL operating account</v>
      </c>
      <c r="E53" s="39" t="str">
        <f>'Meezan Payroll Account'!D24</f>
        <v>MBL250721017</v>
      </c>
      <c r="F53" s="40" t="str">
        <f>'Meezan Payroll Account'!E24</f>
        <v/>
      </c>
      <c r="G53" s="40">
        <f>'Meezan Payroll Account'!F24</f>
        <v>550000</v>
      </c>
      <c r="H53" s="41" t="s">
        <v>380</v>
      </c>
      <c r="I53" s="41" t="s">
        <v>573</v>
      </c>
      <c r="J53" s="41" t="s">
        <v>476</v>
      </c>
      <c r="K53" s="41">
        <v>1030.0</v>
      </c>
      <c r="L53" s="39" t="str">
        <f t="array" ref="L53">IFERROR(XLOOKUP(K53,'Chart of Accounts'!$H$6:$H$67,'Chart of Accounts'!$I$6:$I$67),"GL not found")</f>
        <v>GL not found</v>
      </c>
      <c r="M53" s="41">
        <v>1029.0</v>
      </c>
      <c r="N53" s="39" t="str">
        <f t="array" ref="N53">IFERROR(XLOOKUP(M53,'Chart of Accounts'!$H$6:$H$67,'Chart of Accounts'!$I$6:$I$67),"GL not found")</f>
        <v>GL not found</v>
      </c>
      <c r="O53" s="41" t="s">
        <v>277</v>
      </c>
      <c r="P53" s="41" t="s">
        <v>5</v>
      </c>
      <c r="Q53" s="41" t="s">
        <v>278</v>
      </c>
      <c r="R53" s="41" t="s">
        <v>480</v>
      </c>
      <c r="S53" s="41" t="s">
        <v>576</v>
      </c>
      <c r="T53" s="41" t="s">
        <v>385</v>
      </c>
    </row>
    <row r="54" ht="15.75" customHeight="1">
      <c r="A54" s="37" t="s">
        <v>635</v>
      </c>
      <c r="B54" s="37" t="s">
        <v>536</v>
      </c>
      <c r="C54" s="38">
        <f>'Meezan Payroll Account'!A25</f>
        <v>45859</v>
      </c>
      <c r="D54" s="39" t="str">
        <f>'Meezan Payroll Account'!C25</f>
        <v>Bulk salary transfer - July payroll batch B</v>
      </c>
      <c r="E54" s="39" t="str">
        <f>'Meezan Payroll Account'!D25</f>
        <v>PAY250721B</v>
      </c>
      <c r="F54" s="40">
        <f>'Meezan Payroll Account'!E25</f>
        <v>245000</v>
      </c>
      <c r="G54" s="40" t="str">
        <f>'Meezan Payroll Account'!F25</f>
        <v/>
      </c>
      <c r="H54" s="41" t="s">
        <v>580</v>
      </c>
      <c r="I54" s="41" t="s">
        <v>581</v>
      </c>
      <c r="J54" s="41" t="s">
        <v>636</v>
      </c>
      <c r="K54" s="41">
        <v>1030.0</v>
      </c>
      <c r="L54" s="39" t="str">
        <f t="array" ref="L54">IFERROR(XLOOKUP(K54,'Chart of Accounts'!$H$6:$H$67,'Chart of Accounts'!$I$6:$I$67),"GL not found")</f>
        <v>GL not found</v>
      </c>
      <c r="M54" s="41">
        <v>1034.0</v>
      </c>
      <c r="N54" s="39" t="str">
        <f t="array" ref="N54">IFERROR(XLOOKUP(M54,'Chart of Accounts'!$H$6:$H$67,'Chart of Accounts'!$I$6:$I$67),"GL not found")</f>
        <v>GL not found</v>
      </c>
      <c r="O54" s="41" t="s">
        <v>347</v>
      </c>
      <c r="P54" s="41" t="s">
        <v>5</v>
      </c>
      <c r="Q54" s="41" t="s">
        <v>278</v>
      </c>
      <c r="R54" s="41"/>
      <c r="S54" s="41" t="s">
        <v>279</v>
      </c>
      <c r="T54" s="41" t="s">
        <v>300</v>
      </c>
    </row>
    <row r="55" ht="15.75" customHeight="1">
      <c r="A55" s="37" t="s">
        <v>638</v>
      </c>
      <c r="B55" s="37" t="s">
        <v>536</v>
      </c>
      <c r="C55" s="38">
        <f>'Meezan Payroll Account'!A26</f>
        <v>45860</v>
      </c>
      <c r="D55" s="39" t="str">
        <f>'Meezan Payroll Account'!C26</f>
        <v>IBFT - Employee medical reimbursement</v>
      </c>
      <c r="E55" s="39" t="str">
        <f>'Meezan Payroll Account'!D26</f>
        <v>MBL250722019</v>
      </c>
      <c r="F55" s="40">
        <f>'Meezan Payroll Account'!E26</f>
        <v>22000</v>
      </c>
      <c r="G55" s="40" t="str">
        <f>'Meezan Payroll Account'!F26</f>
        <v/>
      </c>
      <c r="H55" s="41" t="s">
        <v>640</v>
      </c>
      <c r="I55" s="41" t="s">
        <v>626</v>
      </c>
      <c r="J55" s="41" t="s">
        <v>545</v>
      </c>
      <c r="K55" s="41">
        <v>1030.0</v>
      </c>
      <c r="L55" s="39" t="str">
        <f t="array" ref="L55">IFERROR(XLOOKUP(K55,'Chart of Accounts'!$H$6:$H$67,'Chart of Accounts'!$I$6:$I$67),"GL not found")</f>
        <v>GL not found</v>
      </c>
      <c r="M55" s="41">
        <v>1068.0</v>
      </c>
      <c r="N55" s="39" t="str">
        <f t="array" ref="N55">IFERROR(XLOOKUP(M55,'Chart of Accounts'!$H$6:$H$67,'Chart of Accounts'!$I$6:$I$67),"GL not found")</f>
        <v>GL not found</v>
      </c>
      <c r="O55" s="41" t="s">
        <v>277</v>
      </c>
      <c r="P55" s="41" t="s">
        <v>5</v>
      </c>
      <c r="Q55" s="41" t="s">
        <v>278</v>
      </c>
      <c r="R55" s="41"/>
      <c r="S55" s="41" t="s">
        <v>279</v>
      </c>
      <c r="T55" s="41" t="s">
        <v>300</v>
      </c>
    </row>
    <row r="56" ht="15.75" customHeight="1">
      <c r="A56" s="37" t="s">
        <v>641</v>
      </c>
      <c r="B56" s="37" t="s">
        <v>536</v>
      </c>
      <c r="C56" s="38">
        <f>'Meezan Payroll Account'!A27</f>
        <v>45862</v>
      </c>
      <c r="D56" s="39" t="str">
        <f>'Meezan Payroll Account'!C27</f>
        <v>Bulk transfer - Contract drivers settlement W29</v>
      </c>
      <c r="E56" s="39" t="str">
        <f>'Meezan Payroll Account'!D27</f>
        <v>MBL250724020</v>
      </c>
      <c r="F56" s="40">
        <f>'Meezan Payroll Account'!E27</f>
        <v>138000</v>
      </c>
      <c r="G56" s="40" t="str">
        <f>'Meezan Payroll Account'!F27</f>
        <v/>
      </c>
      <c r="H56" s="41" t="s">
        <v>608</v>
      </c>
      <c r="I56" s="41" t="s">
        <v>609</v>
      </c>
      <c r="J56" s="41" t="s">
        <v>642</v>
      </c>
      <c r="K56" s="41">
        <v>1030.0</v>
      </c>
      <c r="L56" s="39" t="str">
        <f t="array" ref="L56">IFERROR(XLOOKUP(K56,'Chart of Accounts'!$H$6:$H$67,'Chart of Accounts'!$I$6:$I$67),"GL not found")</f>
        <v>GL not found</v>
      </c>
      <c r="M56" s="41">
        <v>1054.0</v>
      </c>
      <c r="N56" s="39" t="str">
        <f t="array" ref="N56">IFERROR(XLOOKUP(M56,'Chart of Accounts'!$H$6:$H$67,'Chart of Accounts'!$I$6:$I$67),"GL not found")</f>
        <v>GL not found</v>
      </c>
      <c r="O56" s="41" t="s">
        <v>305</v>
      </c>
      <c r="P56" s="41" t="s">
        <v>5</v>
      </c>
      <c r="Q56" s="41" t="s">
        <v>278</v>
      </c>
      <c r="R56" s="41"/>
      <c r="S56" s="41" t="s">
        <v>279</v>
      </c>
      <c r="T56" s="41" t="s">
        <v>300</v>
      </c>
    </row>
    <row r="57" ht="15.75" customHeight="1">
      <c r="A57" s="37" t="s">
        <v>643</v>
      </c>
      <c r="B57" s="37" t="s">
        <v>536</v>
      </c>
      <c r="C57" s="38">
        <f>'Meezan Payroll Account'!A28</f>
        <v>45863</v>
      </c>
      <c r="D57" s="39" t="str">
        <f>'Meezan Payroll Account'!C28</f>
        <v>Raast CR - employee advance recovery</v>
      </c>
      <c r="E57" s="39" t="str">
        <f>'Meezan Payroll Account'!D28</f>
        <v>MBL250725021</v>
      </c>
      <c r="F57" s="40" t="str">
        <f>'Meezan Payroll Account'!E28</f>
        <v/>
      </c>
      <c r="G57" s="40">
        <f>'Meezan Payroll Account'!F28</f>
        <v>10000</v>
      </c>
      <c r="H57" s="41" t="s">
        <v>644</v>
      </c>
      <c r="I57" s="41" t="s">
        <v>626</v>
      </c>
      <c r="J57" s="41" t="s">
        <v>645</v>
      </c>
      <c r="K57" s="41">
        <v>1030.0</v>
      </c>
      <c r="L57" s="39" t="str">
        <f t="array" ref="L57">IFERROR(XLOOKUP(K57,'Chart of Accounts'!$H$6:$H$67,'Chart of Accounts'!$I$6:$I$67),"GL not found")</f>
        <v>GL not found</v>
      </c>
      <c r="M57" s="41">
        <v>1025.0</v>
      </c>
      <c r="N57" s="39" t="str">
        <f t="array" ref="N57">IFERROR(XLOOKUP(M57,'Chart of Accounts'!$H$6:$H$67,'Chart of Accounts'!$I$6:$I$67),"GL not found")</f>
        <v>GL not found</v>
      </c>
      <c r="O57" s="41" t="s">
        <v>277</v>
      </c>
      <c r="P57" s="41" t="s">
        <v>5</v>
      </c>
      <c r="Q57" s="41" t="s">
        <v>278</v>
      </c>
      <c r="R57" s="41"/>
      <c r="S57" s="41" t="s">
        <v>279</v>
      </c>
      <c r="T57" s="41" t="s">
        <v>280</v>
      </c>
    </row>
    <row r="58" ht="15.75" customHeight="1">
      <c r="A58" s="37" t="s">
        <v>646</v>
      </c>
      <c r="B58" s="37" t="s">
        <v>536</v>
      </c>
      <c r="C58" s="38">
        <f>'Meezan Payroll Account'!A29</f>
        <v>45866</v>
      </c>
      <c r="D58" s="39" t="str">
        <f>'Meezan Payroll Account'!C29</f>
        <v>IBFT - Final settlement - Former employee</v>
      </c>
      <c r="E58" s="39" t="str">
        <f>'Meezan Payroll Account'!D29</f>
        <v>MBL250728022</v>
      </c>
      <c r="F58" s="40">
        <f>'Meezan Payroll Account'!E29</f>
        <v>78500</v>
      </c>
      <c r="G58" s="40" t="str">
        <f>'Meezan Payroll Account'!F29</f>
        <v/>
      </c>
      <c r="H58" s="41" t="s">
        <v>647</v>
      </c>
      <c r="I58" s="41" t="s">
        <v>648</v>
      </c>
      <c r="J58" s="41" t="s">
        <v>649</v>
      </c>
      <c r="K58" s="41">
        <v>1030.0</v>
      </c>
      <c r="L58" s="39" t="str">
        <f t="array" ref="L58">IFERROR(XLOOKUP(K58,'Chart of Accounts'!$H$6:$H$67,'Chart of Accounts'!$I$6:$I$67),"GL not found")</f>
        <v>GL not found</v>
      </c>
      <c r="M58" s="41">
        <v>1034.0</v>
      </c>
      <c r="N58" s="39" t="str">
        <f t="array" ref="N58">IFERROR(XLOOKUP(M58,'Chart of Accounts'!$H$6:$H$67,'Chart of Accounts'!$I$6:$I$67),"GL not found")</f>
        <v>GL not found</v>
      </c>
      <c r="O58" s="41" t="s">
        <v>347</v>
      </c>
      <c r="P58" s="41" t="s">
        <v>5</v>
      </c>
      <c r="Q58" s="41" t="s">
        <v>278</v>
      </c>
      <c r="R58" s="41"/>
      <c r="S58" s="41" t="s">
        <v>279</v>
      </c>
      <c r="T58" s="41" t="s">
        <v>300</v>
      </c>
    </row>
    <row r="59" ht="15.75" customHeight="1">
      <c r="A59" s="37" t="s">
        <v>650</v>
      </c>
      <c r="B59" s="37" t="s">
        <v>536</v>
      </c>
      <c r="C59" s="38">
        <f>'Meezan Payroll Account'!A30</f>
        <v>45867</v>
      </c>
      <c r="D59" s="39" t="str">
        <f>'Meezan Payroll Account'!C30</f>
        <v>Bulk transfer - Contract drivers settlement W30</v>
      </c>
      <c r="E59" s="39" t="str">
        <f>'Meezan Payroll Account'!D30</f>
        <v>MBL250729023</v>
      </c>
      <c r="F59" s="40">
        <f>'Meezan Payroll Account'!E30</f>
        <v>149000</v>
      </c>
      <c r="G59" s="40" t="str">
        <f>'Meezan Payroll Account'!F30</f>
        <v/>
      </c>
      <c r="H59" s="41" t="s">
        <v>608</v>
      </c>
      <c r="I59" s="41" t="s">
        <v>609</v>
      </c>
      <c r="J59" s="41" t="s">
        <v>651</v>
      </c>
      <c r="K59" s="41">
        <v>1030.0</v>
      </c>
      <c r="L59" s="39" t="str">
        <f t="array" ref="L59">IFERROR(XLOOKUP(K59,'Chart of Accounts'!$H$6:$H$67,'Chart of Accounts'!$I$6:$I$67),"GL not found")</f>
        <v>GL not found</v>
      </c>
      <c r="M59" s="41">
        <v>1054.0</v>
      </c>
      <c r="N59" s="39" t="str">
        <f t="array" ref="N59">IFERROR(XLOOKUP(M59,'Chart of Accounts'!$H$6:$H$67,'Chart of Accounts'!$I$6:$I$67),"GL not found")</f>
        <v>GL not found</v>
      </c>
      <c r="O59" s="41" t="s">
        <v>305</v>
      </c>
      <c r="P59" s="41" t="s">
        <v>5</v>
      </c>
      <c r="Q59" s="41" t="s">
        <v>278</v>
      </c>
      <c r="R59" s="41"/>
      <c r="S59" s="41" t="s">
        <v>279</v>
      </c>
      <c r="T59" s="41" t="s">
        <v>300</v>
      </c>
    </row>
    <row r="60" ht="15.75" customHeight="1">
      <c r="A60" s="37" t="s">
        <v>652</v>
      </c>
      <c r="B60" s="37" t="s">
        <v>536</v>
      </c>
      <c r="C60" s="38">
        <f>'Meezan Payroll Account'!A31</f>
        <v>45869</v>
      </c>
      <c r="D60" s="39" t="str">
        <f>'Meezan Payroll Account'!C31</f>
        <v>Bank service charges - July</v>
      </c>
      <c r="E60" s="39" t="str">
        <f>'Meezan Payroll Account'!D31</f>
        <v>MBL250731024</v>
      </c>
      <c r="F60" s="40">
        <f>'Meezan Payroll Account'!E31</f>
        <v>1800</v>
      </c>
      <c r="G60" s="40" t="str">
        <f>'Meezan Payroll Account'!F31</f>
        <v/>
      </c>
      <c r="H60" s="41" t="s">
        <v>407</v>
      </c>
      <c r="I60" s="41" t="s">
        <v>586</v>
      </c>
      <c r="J60" s="41" t="s">
        <v>408</v>
      </c>
      <c r="K60" s="41">
        <v>1030.0</v>
      </c>
      <c r="L60" s="39" t="str">
        <f t="array" ref="L60">IFERROR(XLOOKUP(K60,'Chart of Accounts'!$H$6:$H$67,'Chart of Accounts'!$I$6:$I$67),"GL not found")</f>
        <v>GL not found</v>
      </c>
      <c r="M60" s="41">
        <v>1057.0</v>
      </c>
      <c r="N60" s="39" t="str">
        <f t="array" ref="N60">IFERROR(XLOOKUP(M60,'Chart of Accounts'!$H$6:$H$67,'Chart of Accounts'!$I$6:$I$67),"GL not found")</f>
        <v>GL not found</v>
      </c>
      <c r="O60" s="41" t="s">
        <v>277</v>
      </c>
      <c r="P60" s="41" t="s">
        <v>5</v>
      </c>
      <c r="Q60" s="41" t="s">
        <v>278</v>
      </c>
      <c r="R60" s="41"/>
      <c r="S60" s="41" t="s">
        <v>279</v>
      </c>
      <c r="T60" s="41" t="s">
        <v>300</v>
      </c>
    </row>
    <row r="61" ht="15.75" customHeight="1">
      <c r="A61" s="37" t="s">
        <v>653</v>
      </c>
      <c r="B61" s="37" t="s">
        <v>536</v>
      </c>
      <c r="C61" s="38">
        <f>'Meezan Payroll Account'!A32</f>
        <v>45869</v>
      </c>
      <c r="D61" s="39" t="str">
        <f>'Meezan Payroll Account'!C32</f>
        <v>FED on bank service charges</v>
      </c>
      <c r="E61" s="39" t="str">
        <f>'Meezan Payroll Account'!D32</f>
        <v>MBL250731025</v>
      </c>
      <c r="F61" s="40">
        <f>'Meezan Payroll Account'!E32</f>
        <v>288</v>
      </c>
      <c r="G61" s="40" t="str">
        <f>'Meezan Payroll Account'!F32</f>
        <v/>
      </c>
      <c r="H61" s="41" t="s">
        <v>446</v>
      </c>
      <c r="I61" s="41" t="s">
        <v>591</v>
      </c>
      <c r="J61" s="41" t="s">
        <v>408</v>
      </c>
      <c r="K61" s="41">
        <v>1030.0</v>
      </c>
      <c r="L61" s="39" t="str">
        <f t="array" ref="L61">IFERROR(XLOOKUP(K61,'Chart of Accounts'!$H$6:$H$67,'Chart of Accounts'!$I$6:$I$67),"GL not found")</f>
        <v>GL not found</v>
      </c>
      <c r="M61" s="41">
        <v>1068.0</v>
      </c>
      <c r="N61" s="39" t="str">
        <f t="array" ref="N61">IFERROR(XLOOKUP(M61,'Chart of Accounts'!$H$6:$H$67,'Chart of Accounts'!$I$6:$I$67),"GL not found")</f>
        <v>GL not found</v>
      </c>
      <c r="O61" s="41" t="s">
        <v>448</v>
      </c>
      <c r="P61" s="41" t="s">
        <v>5</v>
      </c>
      <c r="Q61" s="41" t="s">
        <v>278</v>
      </c>
      <c r="R61" s="41"/>
      <c r="S61" s="41" t="s">
        <v>279</v>
      </c>
      <c r="T61" s="41" t="s">
        <v>300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44.0"/>
    <col customWidth="1" min="4" max="7" width="23.0"/>
    <col customWidth="1" min="8" max="8" width="16.0"/>
    <col customWidth="1" min="9" max="13" width="25.0"/>
  </cols>
  <sheetData>
    <row r="1" ht="30.0" customHeight="1">
      <c r="A1" s="1" t="s">
        <v>260</v>
      </c>
    </row>
    <row r="2">
      <c r="A2" s="34" t="s">
        <v>263</v>
      </c>
      <c r="B2" s="35" t="s">
        <v>235</v>
      </c>
      <c r="C2" s="35" t="s">
        <v>41</v>
      </c>
      <c r="D2" s="35" t="s">
        <v>264</v>
      </c>
      <c r="E2" s="35" t="s">
        <v>265</v>
      </c>
      <c r="F2" s="35" t="s">
        <v>266</v>
      </c>
      <c r="G2" s="35" t="s">
        <v>267</v>
      </c>
      <c r="H2" s="35" t="s">
        <v>268</v>
      </c>
      <c r="I2" s="35" t="s">
        <v>244</v>
      </c>
      <c r="J2" s="35" t="s">
        <v>4</v>
      </c>
      <c r="K2" s="35" t="s">
        <v>238</v>
      </c>
      <c r="L2" s="35" t="s">
        <v>245</v>
      </c>
      <c r="M2" s="36" t="s">
        <v>271</v>
      </c>
    </row>
    <row r="3">
      <c r="A3" s="42" t="s">
        <v>273</v>
      </c>
      <c r="B3" s="43">
        <v>45869.0</v>
      </c>
      <c r="C3" s="42" t="s">
        <v>276</v>
      </c>
      <c r="D3" s="42">
        <v>1018.0</v>
      </c>
      <c r="E3" s="44" t="str">
        <f t="array" ref="E3">IFERROR(XLOOKUP(D3,'Chart of Accounts'!$H$6:$H$67,'Chart of Accounts'!$I$6:$I$67),"GL not found")</f>
        <v>GL not found</v>
      </c>
      <c r="F3" s="42">
        <v>1050.0</v>
      </c>
      <c r="G3" s="44" t="str">
        <f t="array" ref="G3">IFERROR(XLOOKUP(F3,'Chart of Accounts'!$H$6:$H$67,'Chart of Accounts'!$I$6:$I$67),"GL not found")</f>
        <v>GL not found</v>
      </c>
      <c r="H3" s="45">
        <v>925000.0</v>
      </c>
      <c r="I3" s="42" t="s">
        <v>294</v>
      </c>
      <c r="J3" s="42" t="s">
        <v>5</v>
      </c>
      <c r="K3" s="42" t="s">
        <v>295</v>
      </c>
      <c r="L3" s="42" t="s">
        <v>278</v>
      </c>
      <c r="M3" s="42" t="s">
        <v>296</v>
      </c>
    </row>
    <row r="4">
      <c r="A4" s="42" t="s">
        <v>297</v>
      </c>
      <c r="B4" s="43">
        <v>45869.0</v>
      </c>
      <c r="C4" s="42" t="s">
        <v>298</v>
      </c>
      <c r="D4" s="42">
        <v>1054.0</v>
      </c>
      <c r="E4" s="44" t="str">
        <f t="array" ref="E4">IFERROR(XLOOKUP(D4,'Chart of Accounts'!$H$6:$H$67,'Chart of Accounts'!$I$6:$I$67),"GL not found")</f>
        <v>GL not found</v>
      </c>
      <c r="F4" s="42">
        <v>1035.0</v>
      </c>
      <c r="G4" s="44" t="str">
        <f t="array" ref="G4">IFERROR(XLOOKUP(F4,'Chart of Accounts'!$H$6:$H$67,'Chart of Accounts'!$I$6:$I$67),"GL not found")</f>
        <v>GL not found</v>
      </c>
      <c r="H4" s="45">
        <v>315000.0</v>
      </c>
      <c r="I4" s="42" t="s">
        <v>305</v>
      </c>
      <c r="J4" s="42" t="s">
        <v>5</v>
      </c>
      <c r="K4" s="42" t="s">
        <v>307</v>
      </c>
      <c r="L4" s="42" t="s">
        <v>278</v>
      </c>
      <c r="M4" s="42" t="s">
        <v>296</v>
      </c>
    </row>
    <row r="5">
      <c r="A5" s="42" t="s">
        <v>309</v>
      </c>
      <c r="B5" s="43">
        <v>45869.0</v>
      </c>
      <c r="C5" s="42" t="s">
        <v>311</v>
      </c>
      <c r="D5" s="42">
        <v>1058.0</v>
      </c>
      <c r="E5" s="44" t="str">
        <f t="array" ref="E5">IFERROR(XLOOKUP(D5,'Chart of Accounts'!$H$6:$H$67,'Chart of Accounts'!$I$6:$I$67),"GL not found")</f>
        <v>GL not found</v>
      </c>
      <c r="F5" s="42">
        <v>1035.0</v>
      </c>
      <c r="G5" s="44" t="str">
        <f t="array" ref="G5">IFERROR(XLOOKUP(F5,'Chart of Accounts'!$H$6:$H$67,'Chart of Accounts'!$I$6:$I$67),"GL not found")</f>
        <v>GL not found</v>
      </c>
      <c r="H5" s="45">
        <v>85000.0</v>
      </c>
      <c r="I5" s="42" t="s">
        <v>299</v>
      </c>
      <c r="J5" s="42" t="s">
        <v>5</v>
      </c>
      <c r="K5" s="42" t="s">
        <v>317</v>
      </c>
      <c r="L5" s="42" t="s">
        <v>278</v>
      </c>
      <c r="M5" s="42" t="s">
        <v>296</v>
      </c>
    </row>
    <row r="6">
      <c r="A6" s="42" t="s">
        <v>318</v>
      </c>
      <c r="B6" s="43">
        <v>45869.0</v>
      </c>
      <c r="C6" s="42" t="s">
        <v>319</v>
      </c>
      <c r="D6" s="42">
        <v>1068.0</v>
      </c>
      <c r="E6" s="44" t="str">
        <f t="array" ref="E6">IFERROR(XLOOKUP(D6,'Chart of Accounts'!$H$6:$H$67,'Chart of Accounts'!$I$6:$I$67),"GL not found")</f>
        <v>GL not found</v>
      </c>
      <c r="F6" s="42">
        <v>1026.0</v>
      </c>
      <c r="G6" s="44" t="str">
        <f t="array" ref="G6">IFERROR(XLOOKUP(F6,'Chart of Accounts'!$H$6:$H$67,'Chart of Accounts'!$I$6:$I$67),"GL not found")</f>
        <v>GL not found</v>
      </c>
      <c r="H6" s="45">
        <v>15000.0</v>
      </c>
      <c r="I6" s="42" t="s">
        <v>277</v>
      </c>
      <c r="J6" s="42" t="s">
        <v>5</v>
      </c>
      <c r="K6" s="42" t="s">
        <v>330</v>
      </c>
      <c r="L6" s="42" t="s">
        <v>278</v>
      </c>
      <c r="M6" s="42" t="s">
        <v>296</v>
      </c>
    </row>
    <row r="7">
      <c r="A7" s="42" t="s">
        <v>331</v>
      </c>
      <c r="B7" s="43">
        <v>45869.0</v>
      </c>
      <c r="C7" s="42" t="s">
        <v>332</v>
      </c>
      <c r="D7" s="42">
        <v>1064.0</v>
      </c>
      <c r="E7" s="44" t="str">
        <f t="array" ref="E7">IFERROR(XLOOKUP(D7,'Chart of Accounts'!$H$6:$H$67,'Chart of Accounts'!$I$6:$I$67),"GL not found")</f>
        <v>GL not found</v>
      </c>
      <c r="F7" s="42">
        <v>1017.0</v>
      </c>
      <c r="G7" s="44" t="str">
        <f t="array" ref="G7">IFERROR(XLOOKUP(F7,'Chart of Accounts'!$H$6:$H$67,'Chart of Accounts'!$I$6:$I$67),"GL not found")</f>
        <v>GL not found</v>
      </c>
      <c r="H7" s="45">
        <v>120000.0</v>
      </c>
      <c r="I7" s="42" t="s">
        <v>277</v>
      </c>
      <c r="J7" s="42" t="s">
        <v>5</v>
      </c>
      <c r="K7" s="42" t="s">
        <v>339</v>
      </c>
      <c r="L7" s="42" t="s">
        <v>278</v>
      </c>
      <c r="M7" s="42" t="s">
        <v>296</v>
      </c>
    </row>
    <row r="8">
      <c r="A8" s="42" t="s">
        <v>340</v>
      </c>
      <c r="B8" s="43">
        <v>45869.0</v>
      </c>
      <c r="C8" s="42" t="s">
        <v>341</v>
      </c>
      <c r="D8" s="42">
        <v>1056.0</v>
      </c>
      <c r="E8" s="44" t="str">
        <f t="array" ref="E8">IFERROR(XLOOKUP(D8,'Chart of Accounts'!$H$6:$H$67,'Chart of Accounts'!$I$6:$I$67),"GL not found")</f>
        <v>GL not found</v>
      </c>
      <c r="F8" s="42">
        <v>1034.0</v>
      </c>
      <c r="G8" s="44" t="str">
        <f t="array" ref="G8">IFERROR(XLOOKUP(F8,'Chart of Accounts'!$H$6:$H$67,'Chart of Accounts'!$I$6:$I$67),"GL not found")</f>
        <v>GL not found</v>
      </c>
      <c r="H8" s="45">
        <v>290000.0</v>
      </c>
      <c r="I8" s="42" t="s">
        <v>347</v>
      </c>
      <c r="J8" s="42" t="s">
        <v>5</v>
      </c>
      <c r="K8" s="42" t="s">
        <v>348</v>
      </c>
      <c r="L8" s="42" t="s">
        <v>278</v>
      </c>
      <c r="M8" s="42" t="s">
        <v>296</v>
      </c>
    </row>
    <row r="9">
      <c r="A9" s="42" t="s">
        <v>350</v>
      </c>
      <c r="B9" s="43">
        <v>45869.0</v>
      </c>
      <c r="C9" s="42" t="s">
        <v>351</v>
      </c>
      <c r="D9" s="42">
        <v>1048.0</v>
      </c>
      <c r="E9" s="44" t="str">
        <f t="array" ref="E9">IFERROR(XLOOKUP(D9,'Chart of Accounts'!$H$6:$H$67,'Chart of Accounts'!$I$6:$I$67),"GL not found")</f>
        <v>GL not found</v>
      </c>
      <c r="F9" s="42">
        <v>1047.0</v>
      </c>
      <c r="G9" s="44" t="str">
        <f t="array" ref="G9">IFERROR(XLOOKUP(F9,'Chart of Accounts'!$H$6:$H$67,'Chart of Accounts'!$I$6:$I$67),"GL not found")</f>
        <v>GL not found</v>
      </c>
      <c r="H9" s="45">
        <v>140000.0</v>
      </c>
      <c r="I9" s="42" t="s">
        <v>356</v>
      </c>
      <c r="J9" s="42" t="s">
        <v>5</v>
      </c>
      <c r="K9" s="42" t="s">
        <v>357</v>
      </c>
      <c r="L9" s="42" t="s">
        <v>278</v>
      </c>
      <c r="M9" s="42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21.0"/>
    <col customWidth="1" min="4" max="4" width="20.0"/>
    <col customWidth="1" min="5" max="5" width="48.0"/>
    <col customWidth="1" min="6" max="6" width="12.0"/>
    <col customWidth="1" min="7" max="7" width="31.0"/>
    <col customWidth="1" min="8" max="9" width="15.0"/>
    <col customWidth="1" min="10" max="13" width="25.0"/>
  </cols>
  <sheetData>
    <row r="1" ht="30.0" customHeight="1">
      <c r="A1" s="1" t="s">
        <v>282</v>
      </c>
    </row>
    <row r="2">
      <c r="A2" s="34" t="s">
        <v>284</v>
      </c>
      <c r="B2" s="35" t="s">
        <v>235</v>
      </c>
      <c r="C2" s="35" t="s">
        <v>25</v>
      </c>
      <c r="D2" s="35" t="s">
        <v>288</v>
      </c>
      <c r="E2" s="35" t="s">
        <v>41</v>
      </c>
      <c r="F2" s="35" t="s">
        <v>290</v>
      </c>
      <c r="G2" s="35" t="s">
        <v>292</v>
      </c>
      <c r="H2" s="35" t="s">
        <v>121</v>
      </c>
      <c r="I2" s="35" t="s">
        <v>125</v>
      </c>
      <c r="J2" s="35" t="s">
        <v>4</v>
      </c>
      <c r="K2" s="35" t="s">
        <v>244</v>
      </c>
      <c r="L2" s="35" t="s">
        <v>249</v>
      </c>
      <c r="M2" s="36" t="s">
        <v>250</v>
      </c>
    </row>
    <row r="3">
      <c r="A3" s="44" t="str">
        <f t="shared" ref="A3:A4" si="1">"JE-001"</f>
        <v>JE-001</v>
      </c>
      <c r="B3" s="46">
        <f>'Transaction Mapping'!C3</f>
        <v>45839</v>
      </c>
      <c r="C3" s="44" t="str">
        <f t="shared" ref="C3:C116" si="2">"Bank Statement"</f>
        <v>Bank Statement</v>
      </c>
      <c r="D3" s="44" t="str">
        <f>'Transaction Mapping'!E3</f>
        <v>HBL250701001</v>
      </c>
      <c r="E3" s="44" t="str">
        <f>'Transaction Mapping'!D3</f>
        <v>IBFT CR - Daraz Pakistan settlement INV-DZ-250701</v>
      </c>
      <c r="F3" s="44">
        <f>'Transaction Mapping'!K3</f>
        <v>1029</v>
      </c>
      <c r="G3" s="44" t="str">
        <f>'Transaction Mapping'!L3</f>
        <v>GL not found</v>
      </c>
      <c r="H3" s="47">
        <f>IF('Transaction Mapping'!G3&gt;0,'Transaction Mapping'!G3,0)</f>
        <v>685000</v>
      </c>
      <c r="I3" s="47">
        <f>IF('Transaction Mapping'!F3&gt;0,'Transaction Mapping'!F3,0)</f>
        <v>0</v>
      </c>
      <c r="J3" s="44" t="str">
        <f>'Transaction Mapping'!P3</f>
        <v>Truck It In (Private) Limited</v>
      </c>
      <c r="K3" s="44" t="str">
        <f>'Transaction Mapping'!O3</f>
        <v>N/A</v>
      </c>
      <c r="L3" s="44" t="str">
        <f t="shared" ref="L3:L116" si="3">"Posted"</f>
        <v>Posted</v>
      </c>
      <c r="M3" s="44" t="str">
        <f>'Transaction Mapping'!T3</f>
        <v>Operating - Receipts</v>
      </c>
    </row>
    <row r="4">
      <c r="A4" s="44" t="str">
        <f t="shared" si="1"/>
        <v>JE-001</v>
      </c>
      <c r="B4" s="46">
        <f>'Transaction Mapping'!C3</f>
        <v>45839</v>
      </c>
      <c r="C4" s="44" t="str">
        <f t="shared" si="2"/>
        <v>Bank Statement</v>
      </c>
      <c r="D4" s="44" t="str">
        <f>'Transaction Mapping'!E3</f>
        <v>HBL250701001</v>
      </c>
      <c r="E4" s="44" t="str">
        <f>'Transaction Mapping'!D3</f>
        <v>IBFT CR - Daraz Pakistan settlement INV-DZ-250701</v>
      </c>
      <c r="F4" s="44">
        <f>'Transaction Mapping'!M3</f>
        <v>1018</v>
      </c>
      <c r="G4" s="44" t="str">
        <f>'Transaction Mapping'!N3</f>
        <v>GL not found</v>
      </c>
      <c r="H4" s="47">
        <f>IF('Transaction Mapping'!F3&gt;0,'Transaction Mapping'!F3,0)</f>
        <v>0</v>
      </c>
      <c r="I4" s="47">
        <f>IF('Transaction Mapping'!G3&gt;0,'Transaction Mapping'!G3,0)</f>
        <v>685000</v>
      </c>
      <c r="J4" s="44" t="str">
        <f>'Transaction Mapping'!P3</f>
        <v>Truck It In (Private) Limited</v>
      </c>
      <c r="K4" s="44" t="str">
        <f>'Transaction Mapping'!O3</f>
        <v>N/A</v>
      </c>
      <c r="L4" s="44" t="str">
        <f t="shared" si="3"/>
        <v>Posted</v>
      </c>
      <c r="M4" s="44" t="str">
        <f>'Transaction Mapping'!T3</f>
        <v>Operating - Receipts</v>
      </c>
    </row>
    <row r="5">
      <c r="A5" s="44" t="str">
        <f t="shared" ref="A5:A6" si="4">"JE-002"</f>
        <v>JE-002</v>
      </c>
      <c r="B5" s="46">
        <f>'Transaction Mapping'!C4</f>
        <v>45839</v>
      </c>
      <c r="C5" s="44" t="str">
        <f t="shared" si="2"/>
        <v>Bank Statement</v>
      </c>
      <c r="D5" s="44" t="str">
        <f>'Transaction Mapping'!E4</f>
        <v>HBL250701002</v>
      </c>
      <c r="E5" s="44" t="str">
        <f>'Transaction Mapping'!D4</f>
        <v>Online transfer - Office rent July - Blue Area Properties</v>
      </c>
      <c r="F5" s="44">
        <f>'Transaction Mapping'!K4</f>
        <v>1029</v>
      </c>
      <c r="G5" s="44" t="str">
        <f>'Transaction Mapping'!L4</f>
        <v>GL not found</v>
      </c>
      <c r="H5" s="47">
        <f>IF('Transaction Mapping'!G4&gt;0,'Transaction Mapping'!G4,0)</f>
        <v>0</v>
      </c>
      <c r="I5" s="47">
        <f>IF('Transaction Mapping'!F4&gt;0,'Transaction Mapping'!F4,0)</f>
        <v>275000</v>
      </c>
      <c r="J5" s="44" t="str">
        <f>'Transaction Mapping'!P4</f>
        <v>Truck It In (Private) Limited</v>
      </c>
      <c r="K5" s="44" t="str">
        <f>'Transaction Mapping'!O4</f>
        <v>Input tax review</v>
      </c>
      <c r="L5" s="44" t="str">
        <f t="shared" si="3"/>
        <v>Posted</v>
      </c>
      <c r="M5" s="44" t="str">
        <f>'Transaction Mapping'!T4</f>
        <v>Operating - Payments</v>
      </c>
    </row>
    <row r="6">
      <c r="A6" s="44" t="str">
        <f t="shared" si="4"/>
        <v>JE-002</v>
      </c>
      <c r="B6" s="46">
        <f>'Transaction Mapping'!C4</f>
        <v>45839</v>
      </c>
      <c r="C6" s="44" t="str">
        <f t="shared" si="2"/>
        <v>Bank Statement</v>
      </c>
      <c r="D6" s="44" t="str">
        <f>'Transaction Mapping'!E4</f>
        <v>HBL250701002</v>
      </c>
      <c r="E6" s="44" t="str">
        <f>'Transaction Mapping'!D4</f>
        <v>Online transfer - Office rent July - Blue Area Properties</v>
      </c>
      <c r="F6" s="44">
        <f>'Transaction Mapping'!M4</f>
        <v>1058</v>
      </c>
      <c r="G6" s="44" t="str">
        <f>'Transaction Mapping'!N4</f>
        <v>GL not found</v>
      </c>
      <c r="H6" s="47">
        <f>IF('Transaction Mapping'!F4&gt;0,'Transaction Mapping'!F4,0)</f>
        <v>275000</v>
      </c>
      <c r="I6" s="47">
        <f>IF('Transaction Mapping'!G4&gt;0,'Transaction Mapping'!G4,0)</f>
        <v>0</v>
      </c>
      <c r="J6" s="44" t="str">
        <f>'Transaction Mapping'!P4</f>
        <v>Truck It In (Private) Limited</v>
      </c>
      <c r="K6" s="44" t="str">
        <f>'Transaction Mapping'!O4</f>
        <v>Input tax review</v>
      </c>
      <c r="L6" s="44" t="str">
        <f t="shared" si="3"/>
        <v>Posted</v>
      </c>
      <c r="M6" s="44" t="str">
        <f>'Transaction Mapping'!T4</f>
        <v>Operating - Payments</v>
      </c>
    </row>
    <row r="7">
      <c r="A7" s="44" t="str">
        <f t="shared" ref="A7:A8" si="5">"JE-003"</f>
        <v>JE-003</v>
      </c>
      <c r="B7" s="46">
        <f>'Transaction Mapping'!C5</f>
        <v>45840</v>
      </c>
      <c r="C7" s="44" t="str">
        <f t="shared" si="2"/>
        <v>Bank Statement</v>
      </c>
      <c r="D7" s="44" t="str">
        <f>'Transaction Mapping'!E5</f>
        <v>HBL250702003</v>
      </c>
      <c r="E7" s="44" t="str">
        <f>'Transaction Mapping'!D5</f>
        <v>Raast CR - Onic distribution collection Batch 0702</v>
      </c>
      <c r="F7" s="44">
        <f>'Transaction Mapping'!K5</f>
        <v>1029</v>
      </c>
      <c r="G7" s="44" t="str">
        <f>'Transaction Mapping'!L5</f>
        <v>GL not found</v>
      </c>
      <c r="H7" s="47">
        <f>IF('Transaction Mapping'!G5&gt;0,'Transaction Mapping'!G5,0)</f>
        <v>412500</v>
      </c>
      <c r="I7" s="47">
        <f>IF('Transaction Mapping'!F5&gt;0,'Transaction Mapping'!F5,0)</f>
        <v>0</v>
      </c>
      <c r="J7" s="44" t="str">
        <f>'Transaction Mapping'!P5</f>
        <v>Truck It In (Private) Limited</v>
      </c>
      <c r="K7" s="44" t="str">
        <f>'Transaction Mapping'!O5</f>
        <v>N/A</v>
      </c>
      <c r="L7" s="44" t="str">
        <f t="shared" si="3"/>
        <v>Posted</v>
      </c>
      <c r="M7" s="44" t="str">
        <f>'Transaction Mapping'!T5</f>
        <v>Operating - Receipts</v>
      </c>
    </row>
    <row r="8">
      <c r="A8" s="44" t="str">
        <f t="shared" si="5"/>
        <v>JE-003</v>
      </c>
      <c r="B8" s="46">
        <f>'Transaction Mapping'!C5</f>
        <v>45840</v>
      </c>
      <c r="C8" s="44" t="str">
        <f t="shared" si="2"/>
        <v>Bank Statement</v>
      </c>
      <c r="D8" s="44" t="str">
        <f>'Transaction Mapping'!E5</f>
        <v>HBL250702003</v>
      </c>
      <c r="E8" s="44" t="str">
        <f>'Transaction Mapping'!D5</f>
        <v>Raast CR - Onic distribution collection Batch 0702</v>
      </c>
      <c r="F8" s="44">
        <f>'Transaction Mapping'!M5</f>
        <v>1018</v>
      </c>
      <c r="G8" s="44" t="str">
        <f>'Transaction Mapping'!N5</f>
        <v>GL not found</v>
      </c>
      <c r="H8" s="47">
        <f>IF('Transaction Mapping'!F5&gt;0,'Transaction Mapping'!F5,0)</f>
        <v>0</v>
      </c>
      <c r="I8" s="47">
        <f>IF('Transaction Mapping'!G5&gt;0,'Transaction Mapping'!G5,0)</f>
        <v>412500</v>
      </c>
      <c r="J8" s="44" t="str">
        <f>'Transaction Mapping'!P5</f>
        <v>Truck It In (Private) Limited</v>
      </c>
      <c r="K8" s="44" t="str">
        <f>'Transaction Mapping'!O5</f>
        <v>N/A</v>
      </c>
      <c r="L8" s="44" t="str">
        <f t="shared" si="3"/>
        <v>Posted</v>
      </c>
      <c r="M8" s="44" t="str">
        <f>'Transaction Mapping'!T5</f>
        <v>Operating - Receipts</v>
      </c>
    </row>
    <row r="9">
      <c r="A9" s="44" t="str">
        <f t="shared" ref="A9:A10" si="6">"JE-004"</f>
        <v>JE-004</v>
      </c>
      <c r="B9" s="46">
        <f>'Transaction Mapping'!C6</f>
        <v>45840</v>
      </c>
      <c r="C9" s="44" t="str">
        <f t="shared" si="2"/>
        <v>Bank Statement</v>
      </c>
      <c r="D9" s="44" t="str">
        <f>'Transaction Mapping'!E6</f>
        <v>HBL250702004</v>
      </c>
      <c r="E9" s="44" t="str">
        <f>'Transaction Mapping'!D6</f>
        <v>POS 7712 - Shell F-8 Islamabad</v>
      </c>
      <c r="F9" s="44">
        <f>'Transaction Mapping'!K6</f>
        <v>1029</v>
      </c>
      <c r="G9" s="44" t="str">
        <f>'Transaction Mapping'!L6</f>
        <v>GL not found</v>
      </c>
      <c r="H9" s="47">
        <f>IF('Transaction Mapping'!G6&gt;0,'Transaction Mapping'!G6,0)</f>
        <v>0</v>
      </c>
      <c r="I9" s="47">
        <f>IF('Transaction Mapping'!F6&gt;0,'Transaction Mapping'!F6,0)</f>
        <v>18450</v>
      </c>
      <c r="J9" s="44" t="str">
        <f>'Transaction Mapping'!P6</f>
        <v>Truck It In (Private) Limited</v>
      </c>
      <c r="K9" s="44" t="str">
        <f>'Transaction Mapping'!O6</f>
        <v>Input tax review</v>
      </c>
      <c r="L9" s="44" t="str">
        <f t="shared" si="3"/>
        <v>Posted</v>
      </c>
      <c r="M9" s="44" t="str">
        <f>'Transaction Mapping'!T6</f>
        <v>Operating - Payments</v>
      </c>
    </row>
    <row r="10">
      <c r="A10" s="44" t="str">
        <f t="shared" si="6"/>
        <v>JE-004</v>
      </c>
      <c r="B10" s="46">
        <f>'Transaction Mapping'!C6</f>
        <v>45840</v>
      </c>
      <c r="C10" s="44" t="str">
        <f t="shared" si="2"/>
        <v>Bank Statement</v>
      </c>
      <c r="D10" s="44" t="str">
        <f>'Transaction Mapping'!E6</f>
        <v>HBL250702004</v>
      </c>
      <c r="E10" s="44" t="str">
        <f>'Transaction Mapping'!D6</f>
        <v>POS 7712 - Shell F-8 Islamabad</v>
      </c>
      <c r="F10" s="44">
        <f>'Transaction Mapping'!M6</f>
        <v>1055</v>
      </c>
      <c r="G10" s="44" t="str">
        <f>'Transaction Mapping'!N6</f>
        <v>GL not found</v>
      </c>
      <c r="H10" s="47">
        <f>IF('Transaction Mapping'!F6&gt;0,'Transaction Mapping'!F6,0)</f>
        <v>18450</v>
      </c>
      <c r="I10" s="47">
        <f>IF('Transaction Mapping'!G6&gt;0,'Transaction Mapping'!G6,0)</f>
        <v>0</v>
      </c>
      <c r="J10" s="44" t="str">
        <f>'Transaction Mapping'!P6</f>
        <v>Truck It In (Private) Limited</v>
      </c>
      <c r="K10" s="44" t="str">
        <f>'Transaction Mapping'!O6</f>
        <v>Input tax review</v>
      </c>
      <c r="L10" s="44" t="str">
        <f t="shared" si="3"/>
        <v>Posted</v>
      </c>
      <c r="M10" s="44" t="str">
        <f>'Transaction Mapping'!T6</f>
        <v>Operating - Payments</v>
      </c>
    </row>
    <row r="11">
      <c r="A11" s="44" t="str">
        <f t="shared" ref="A11:A12" si="7">"JE-005"</f>
        <v>JE-005</v>
      </c>
      <c r="B11" s="46">
        <f>'Transaction Mapping'!C7</f>
        <v>45841</v>
      </c>
      <c r="C11" s="44" t="str">
        <f t="shared" si="2"/>
        <v>Bank Statement</v>
      </c>
      <c r="D11" s="44" t="str">
        <f>'Transaction Mapping'!E7</f>
        <v>CHQ104583</v>
      </c>
      <c r="E11" s="44" t="str">
        <f>'Transaction Mapping'!D7</f>
        <v>Cheque 104583 - Pak Cargo Fleet Services</v>
      </c>
      <c r="F11" s="44">
        <f>'Transaction Mapping'!K7</f>
        <v>1029</v>
      </c>
      <c r="G11" s="44" t="str">
        <f>'Transaction Mapping'!L7</f>
        <v>GL not found</v>
      </c>
      <c r="H11" s="47">
        <f>IF('Transaction Mapping'!G7&gt;0,'Transaction Mapping'!G7,0)</f>
        <v>0</v>
      </c>
      <c r="I11" s="47">
        <f>IF('Transaction Mapping'!F7&gt;0,'Transaction Mapping'!F7,0)</f>
        <v>335000</v>
      </c>
      <c r="J11" s="44" t="str">
        <f>'Transaction Mapping'!P7</f>
        <v>Truck It In (Private) Limited</v>
      </c>
      <c r="K11" s="44" t="str">
        <f>'Transaction Mapping'!O7</f>
        <v>WHT applicable</v>
      </c>
      <c r="L11" s="44" t="str">
        <f t="shared" si="3"/>
        <v>Posted</v>
      </c>
      <c r="M11" s="44" t="str">
        <f>'Transaction Mapping'!T7</f>
        <v>Operating - Payments</v>
      </c>
    </row>
    <row r="12">
      <c r="A12" s="44" t="str">
        <f t="shared" si="7"/>
        <v>JE-005</v>
      </c>
      <c r="B12" s="46">
        <f>'Transaction Mapping'!C7</f>
        <v>45841</v>
      </c>
      <c r="C12" s="44" t="str">
        <f t="shared" si="2"/>
        <v>Bank Statement</v>
      </c>
      <c r="D12" s="44" t="str">
        <f>'Transaction Mapping'!E7</f>
        <v>CHQ104583</v>
      </c>
      <c r="E12" s="44" t="str">
        <f>'Transaction Mapping'!D7</f>
        <v>Cheque 104583 - Pak Cargo Fleet Services</v>
      </c>
      <c r="F12" s="44">
        <f>'Transaction Mapping'!M7</f>
        <v>1054</v>
      </c>
      <c r="G12" s="44" t="str">
        <f>'Transaction Mapping'!N7</f>
        <v>GL not found</v>
      </c>
      <c r="H12" s="47">
        <f>IF('Transaction Mapping'!F7&gt;0,'Transaction Mapping'!F7,0)</f>
        <v>335000</v>
      </c>
      <c r="I12" s="47">
        <f>IF('Transaction Mapping'!G7&gt;0,'Transaction Mapping'!G7,0)</f>
        <v>0</v>
      </c>
      <c r="J12" s="44" t="str">
        <f>'Transaction Mapping'!P7</f>
        <v>Truck It In (Private) Limited</v>
      </c>
      <c r="K12" s="44" t="str">
        <f>'Transaction Mapping'!O7</f>
        <v>WHT applicable</v>
      </c>
      <c r="L12" s="44" t="str">
        <f t="shared" si="3"/>
        <v>Posted</v>
      </c>
      <c r="M12" s="44" t="str">
        <f>'Transaction Mapping'!T7</f>
        <v>Operating - Payments</v>
      </c>
    </row>
    <row r="13">
      <c r="A13" s="44" t="str">
        <f t="shared" ref="A13:A14" si="8">"JE-006"</f>
        <v>JE-006</v>
      </c>
      <c r="B13" s="46">
        <f>'Transaction Mapping'!C8</f>
        <v>45841</v>
      </c>
      <c r="C13" s="44" t="str">
        <f t="shared" si="2"/>
        <v>Bank Statement</v>
      </c>
      <c r="D13" s="44" t="str">
        <f>'Transaction Mapping'!E8</f>
        <v>WHT104583</v>
      </c>
      <c r="E13" s="44" t="str">
        <f>'Transaction Mapping'!D8</f>
        <v>Withholding tax on cheque 104583</v>
      </c>
      <c r="F13" s="44">
        <f>'Transaction Mapping'!K8</f>
        <v>1029</v>
      </c>
      <c r="G13" s="44" t="str">
        <f>'Transaction Mapping'!L8</f>
        <v>GL not found</v>
      </c>
      <c r="H13" s="47">
        <f>IF('Transaction Mapping'!G8&gt;0,'Transaction Mapping'!G8,0)</f>
        <v>0</v>
      </c>
      <c r="I13" s="47">
        <f>IF('Transaction Mapping'!F8&gt;0,'Transaction Mapping'!F8,0)</f>
        <v>3350</v>
      </c>
      <c r="J13" s="44" t="str">
        <f>'Transaction Mapping'!P8</f>
        <v>Truck It In (Private) Limited</v>
      </c>
      <c r="K13" s="44" t="str">
        <f>'Transaction Mapping'!O8</f>
        <v>Withholding tax</v>
      </c>
      <c r="L13" s="44" t="str">
        <f t="shared" si="3"/>
        <v>Posted</v>
      </c>
      <c r="M13" s="44" t="str">
        <f>'Transaction Mapping'!T8</f>
        <v>Operating - Payments</v>
      </c>
    </row>
    <row r="14">
      <c r="A14" s="44" t="str">
        <f t="shared" si="8"/>
        <v>JE-006</v>
      </c>
      <c r="B14" s="46">
        <f>'Transaction Mapping'!C8</f>
        <v>45841</v>
      </c>
      <c r="C14" s="44" t="str">
        <f t="shared" si="2"/>
        <v>Bank Statement</v>
      </c>
      <c r="D14" s="44" t="str">
        <f>'Transaction Mapping'!E8</f>
        <v>WHT104583</v>
      </c>
      <c r="E14" s="44" t="str">
        <f>'Transaction Mapping'!D8</f>
        <v>Withholding tax on cheque 104583</v>
      </c>
      <c r="F14" s="44">
        <f>'Transaction Mapping'!M8</f>
        <v>1036</v>
      </c>
      <c r="G14" s="44" t="str">
        <f>'Transaction Mapping'!N8</f>
        <v>GL not found</v>
      </c>
      <c r="H14" s="47">
        <f>IF('Transaction Mapping'!F8&gt;0,'Transaction Mapping'!F8,0)</f>
        <v>3350</v>
      </c>
      <c r="I14" s="47">
        <f>IF('Transaction Mapping'!G8&gt;0,'Transaction Mapping'!G8,0)</f>
        <v>0</v>
      </c>
      <c r="J14" s="44" t="str">
        <f>'Transaction Mapping'!P8</f>
        <v>Truck It In (Private) Limited</v>
      </c>
      <c r="K14" s="44" t="str">
        <f>'Transaction Mapping'!O8</f>
        <v>Withholding tax</v>
      </c>
      <c r="L14" s="44" t="str">
        <f t="shared" si="3"/>
        <v>Posted</v>
      </c>
      <c r="M14" s="44" t="str">
        <f>'Transaction Mapping'!T8</f>
        <v>Operating - Payments</v>
      </c>
    </row>
    <row r="15">
      <c r="A15" s="44" t="str">
        <f t="shared" ref="A15:A16" si="9">"JE-007"</f>
        <v>JE-007</v>
      </c>
      <c r="B15" s="46">
        <f>'Transaction Mapping'!C9</f>
        <v>45842</v>
      </c>
      <c r="C15" s="44" t="str">
        <f t="shared" si="2"/>
        <v>Bank Statement</v>
      </c>
      <c r="D15" s="44" t="str">
        <f>'Transaction Mapping'!E9</f>
        <v>HBL250704007</v>
      </c>
      <c r="E15" s="44" t="str">
        <f>'Transaction Mapping'!D9</f>
        <v>IBFT CR - Sapphire merchant COD settlement</v>
      </c>
      <c r="F15" s="44">
        <f>'Transaction Mapping'!K9</f>
        <v>1029</v>
      </c>
      <c r="G15" s="44" t="str">
        <f>'Transaction Mapping'!L9</f>
        <v>GL not found</v>
      </c>
      <c r="H15" s="47">
        <f>IF('Transaction Mapping'!G9&gt;0,'Transaction Mapping'!G9,0)</f>
        <v>298750</v>
      </c>
      <c r="I15" s="47">
        <f>IF('Transaction Mapping'!F9&gt;0,'Transaction Mapping'!F9,0)</f>
        <v>0</v>
      </c>
      <c r="J15" s="44" t="str">
        <f>'Transaction Mapping'!P9</f>
        <v>Truck It In (Private) Limited</v>
      </c>
      <c r="K15" s="44" t="str">
        <f>'Transaction Mapping'!O9</f>
        <v>N/A</v>
      </c>
      <c r="L15" s="44" t="str">
        <f t="shared" si="3"/>
        <v>Posted</v>
      </c>
      <c r="M15" s="44" t="str">
        <f>'Transaction Mapping'!T9</f>
        <v>Operating - Receipts</v>
      </c>
    </row>
    <row r="16">
      <c r="A16" s="44" t="str">
        <f t="shared" si="9"/>
        <v>JE-007</v>
      </c>
      <c r="B16" s="46">
        <f>'Transaction Mapping'!C9</f>
        <v>45842</v>
      </c>
      <c r="C16" s="44" t="str">
        <f t="shared" si="2"/>
        <v>Bank Statement</v>
      </c>
      <c r="D16" s="44" t="str">
        <f>'Transaction Mapping'!E9</f>
        <v>HBL250704007</v>
      </c>
      <c r="E16" s="44" t="str">
        <f>'Transaction Mapping'!D9</f>
        <v>IBFT CR - Sapphire merchant COD settlement</v>
      </c>
      <c r="F16" s="44">
        <f>'Transaction Mapping'!M9</f>
        <v>1018</v>
      </c>
      <c r="G16" s="44" t="str">
        <f>'Transaction Mapping'!N9</f>
        <v>GL not found</v>
      </c>
      <c r="H16" s="47">
        <f>IF('Transaction Mapping'!F9&gt;0,'Transaction Mapping'!F9,0)</f>
        <v>0</v>
      </c>
      <c r="I16" s="47">
        <f>IF('Transaction Mapping'!G9&gt;0,'Transaction Mapping'!G9,0)</f>
        <v>298750</v>
      </c>
      <c r="J16" s="44" t="str">
        <f>'Transaction Mapping'!P9</f>
        <v>Truck It In (Private) Limited</v>
      </c>
      <c r="K16" s="44" t="str">
        <f>'Transaction Mapping'!O9</f>
        <v>N/A</v>
      </c>
      <c r="L16" s="44" t="str">
        <f t="shared" si="3"/>
        <v>Posted</v>
      </c>
      <c r="M16" s="44" t="str">
        <f>'Transaction Mapping'!T9</f>
        <v>Operating - Receipts</v>
      </c>
    </row>
    <row r="17">
      <c r="A17" s="44" t="str">
        <f t="shared" ref="A17:A18" si="10">"JE-008"</f>
        <v>JE-008</v>
      </c>
      <c r="B17" s="46">
        <f>'Transaction Mapping'!C10</f>
        <v>45842</v>
      </c>
      <c r="C17" s="44" t="str">
        <f t="shared" si="2"/>
        <v>Bank Statement</v>
      </c>
      <c r="D17" s="44" t="str">
        <f>'Transaction Mapping'!E10</f>
        <v>HBL250704008</v>
      </c>
      <c r="E17" s="44" t="str">
        <f>'Transaction Mapping'!D10</f>
        <v>Online payment - PTCL corporate internet June</v>
      </c>
      <c r="F17" s="44">
        <f>'Transaction Mapping'!K10</f>
        <v>1029</v>
      </c>
      <c r="G17" s="44" t="str">
        <f>'Transaction Mapping'!L10</f>
        <v>GL not found</v>
      </c>
      <c r="H17" s="47">
        <f>IF('Transaction Mapping'!G10&gt;0,'Transaction Mapping'!G10,0)</f>
        <v>0</v>
      </c>
      <c r="I17" s="47">
        <f>IF('Transaction Mapping'!F10&gt;0,'Transaction Mapping'!F10,0)</f>
        <v>42800</v>
      </c>
      <c r="J17" s="44" t="str">
        <f>'Transaction Mapping'!P10</f>
        <v>Truck It In (Private) Limited</v>
      </c>
      <c r="K17" s="44" t="str">
        <f>'Transaction Mapping'!O10</f>
        <v>Input tax review</v>
      </c>
      <c r="L17" s="44" t="str">
        <f t="shared" si="3"/>
        <v>Posted</v>
      </c>
      <c r="M17" s="44" t="str">
        <f>'Transaction Mapping'!T10</f>
        <v>Operating - Payments</v>
      </c>
    </row>
    <row r="18">
      <c r="A18" s="44" t="str">
        <f t="shared" si="10"/>
        <v>JE-008</v>
      </c>
      <c r="B18" s="46">
        <f>'Transaction Mapping'!C10</f>
        <v>45842</v>
      </c>
      <c r="C18" s="44" t="str">
        <f t="shared" si="2"/>
        <v>Bank Statement</v>
      </c>
      <c r="D18" s="44" t="str">
        <f>'Transaction Mapping'!E10</f>
        <v>HBL250704008</v>
      </c>
      <c r="E18" s="44" t="str">
        <f>'Transaction Mapping'!D10</f>
        <v>Online payment - PTCL corporate internet June</v>
      </c>
      <c r="F18" s="44">
        <f>'Transaction Mapping'!M10</f>
        <v>1058</v>
      </c>
      <c r="G18" s="44" t="str">
        <f>'Transaction Mapping'!N10</f>
        <v>GL not found</v>
      </c>
      <c r="H18" s="47">
        <f>IF('Transaction Mapping'!F10&gt;0,'Transaction Mapping'!F10,0)</f>
        <v>42800</v>
      </c>
      <c r="I18" s="47">
        <f>IF('Transaction Mapping'!G10&gt;0,'Transaction Mapping'!G10,0)</f>
        <v>0</v>
      </c>
      <c r="J18" s="44" t="str">
        <f>'Transaction Mapping'!P10</f>
        <v>Truck It In (Private) Limited</v>
      </c>
      <c r="K18" s="44" t="str">
        <f>'Transaction Mapping'!O10</f>
        <v>Input tax review</v>
      </c>
      <c r="L18" s="44" t="str">
        <f t="shared" si="3"/>
        <v>Posted</v>
      </c>
      <c r="M18" s="44" t="str">
        <f>'Transaction Mapping'!T10</f>
        <v>Operating - Payments</v>
      </c>
    </row>
    <row r="19">
      <c r="A19" s="44" t="str">
        <f t="shared" ref="A19:A20" si="11">"JE-009"</f>
        <v>JE-009</v>
      </c>
      <c r="B19" s="46">
        <f>'Transaction Mapping'!C11</f>
        <v>45843</v>
      </c>
      <c r="C19" s="44" t="str">
        <f t="shared" si="2"/>
        <v>Bank Statement</v>
      </c>
      <c r="D19" s="44" t="str">
        <f>'Transaction Mapping'!E11</f>
        <v>ATM250705</v>
      </c>
      <c r="E19" s="44" t="str">
        <f>'Transaction Mapping'!D11</f>
        <v>ATM cash withdrawal - HBL Blue Area</v>
      </c>
      <c r="F19" s="44">
        <f>'Transaction Mapping'!K11</f>
        <v>1029</v>
      </c>
      <c r="G19" s="44" t="str">
        <f>'Transaction Mapping'!L11</f>
        <v>GL not found</v>
      </c>
      <c r="H19" s="47">
        <f>IF('Transaction Mapping'!G11&gt;0,'Transaction Mapping'!G11,0)</f>
        <v>0</v>
      </c>
      <c r="I19" s="47">
        <f>IF('Transaction Mapping'!F11&gt;0,'Transaction Mapping'!F11,0)</f>
        <v>50000</v>
      </c>
      <c r="J19" s="44" t="str">
        <f>'Transaction Mapping'!P11</f>
        <v>Truck It In (Private) Limited</v>
      </c>
      <c r="K19" s="44" t="str">
        <f>'Transaction Mapping'!O11</f>
        <v>N/A</v>
      </c>
      <c r="L19" s="44" t="str">
        <f t="shared" si="3"/>
        <v>Posted</v>
      </c>
      <c r="M19" s="44" t="str">
        <f>'Transaction Mapping'!T11</f>
        <v>Operating - Payments</v>
      </c>
    </row>
    <row r="20">
      <c r="A20" s="44" t="str">
        <f t="shared" si="11"/>
        <v>JE-009</v>
      </c>
      <c r="B20" s="46">
        <f>'Transaction Mapping'!C11</f>
        <v>45843</v>
      </c>
      <c r="C20" s="44" t="str">
        <f t="shared" si="2"/>
        <v>Bank Statement</v>
      </c>
      <c r="D20" s="44" t="str">
        <f>'Transaction Mapping'!E11</f>
        <v>ATM250705</v>
      </c>
      <c r="E20" s="44" t="str">
        <f>'Transaction Mapping'!D11</f>
        <v>ATM cash withdrawal - HBL Blue Area</v>
      </c>
      <c r="F20" s="44">
        <f>'Transaction Mapping'!M11</f>
        <v>1068</v>
      </c>
      <c r="G20" s="44" t="str">
        <f>'Transaction Mapping'!N11</f>
        <v>GL not found</v>
      </c>
      <c r="H20" s="47">
        <f>IF('Transaction Mapping'!F11&gt;0,'Transaction Mapping'!F11,0)</f>
        <v>50000</v>
      </c>
      <c r="I20" s="47">
        <f>IF('Transaction Mapping'!G11&gt;0,'Transaction Mapping'!G11,0)</f>
        <v>0</v>
      </c>
      <c r="J20" s="44" t="str">
        <f>'Transaction Mapping'!P11</f>
        <v>Truck It In (Private) Limited</v>
      </c>
      <c r="K20" s="44" t="str">
        <f>'Transaction Mapping'!O11</f>
        <v>N/A</v>
      </c>
      <c r="L20" s="44" t="str">
        <f t="shared" si="3"/>
        <v>Posted</v>
      </c>
      <c r="M20" s="44" t="str">
        <f>'Transaction Mapping'!T11</f>
        <v>Operating - Payments</v>
      </c>
    </row>
    <row r="21" ht="15.75" customHeight="1">
      <c r="A21" s="44" t="str">
        <f t="shared" ref="A21:A22" si="12">"JE-010"</f>
        <v>JE-010</v>
      </c>
      <c r="B21" s="46">
        <f>'Transaction Mapping'!C12</f>
        <v>45845</v>
      </c>
      <c r="C21" s="44" t="str">
        <f t="shared" si="2"/>
        <v>Bank Statement</v>
      </c>
      <c r="D21" s="44" t="str">
        <f>'Transaction Mapping'!E12</f>
        <v>HBL250707011</v>
      </c>
      <c r="E21" s="44" t="str">
        <f>'Transaction Mapping'!D12</f>
        <v>Transfer to Meezan Bank payroll account</v>
      </c>
      <c r="F21" s="44">
        <f>'Transaction Mapping'!K12</f>
        <v>1029</v>
      </c>
      <c r="G21" s="44" t="str">
        <f>'Transaction Mapping'!L12</f>
        <v>GL not found</v>
      </c>
      <c r="H21" s="47">
        <f>IF('Transaction Mapping'!G12&gt;0,'Transaction Mapping'!G12,0)</f>
        <v>0</v>
      </c>
      <c r="I21" s="47">
        <f>IF('Transaction Mapping'!F12&gt;0,'Transaction Mapping'!F12,0)</f>
        <v>850000</v>
      </c>
      <c r="J21" s="44" t="str">
        <f>'Transaction Mapping'!P12</f>
        <v>Truck It In (Private) Limited</v>
      </c>
      <c r="K21" s="44" t="str">
        <f>'Transaction Mapping'!O12</f>
        <v>N/A</v>
      </c>
      <c r="L21" s="44" t="str">
        <f t="shared" si="3"/>
        <v>Posted</v>
      </c>
      <c r="M21" s="44" t="str">
        <f>'Transaction Mapping'!T12</f>
        <v>Transfer</v>
      </c>
    </row>
    <row r="22" ht="15.75" customHeight="1">
      <c r="A22" s="44" t="str">
        <f t="shared" si="12"/>
        <v>JE-010</v>
      </c>
      <c r="B22" s="46">
        <f>'Transaction Mapping'!C12</f>
        <v>45845</v>
      </c>
      <c r="C22" s="44" t="str">
        <f t="shared" si="2"/>
        <v>Bank Statement</v>
      </c>
      <c r="D22" s="44" t="str">
        <f>'Transaction Mapping'!E12</f>
        <v>HBL250707011</v>
      </c>
      <c r="E22" s="44" t="str">
        <f>'Transaction Mapping'!D12</f>
        <v>Transfer to Meezan Bank payroll account</v>
      </c>
      <c r="F22" s="44">
        <f>'Transaction Mapping'!M12</f>
        <v>1030</v>
      </c>
      <c r="G22" s="44" t="str">
        <f>'Transaction Mapping'!N12</f>
        <v>GL not found</v>
      </c>
      <c r="H22" s="47">
        <f>IF('Transaction Mapping'!F12&gt;0,'Transaction Mapping'!F12,0)</f>
        <v>850000</v>
      </c>
      <c r="I22" s="47">
        <f>IF('Transaction Mapping'!G12&gt;0,'Transaction Mapping'!G12,0)</f>
        <v>0</v>
      </c>
      <c r="J22" s="44" t="str">
        <f>'Transaction Mapping'!P12</f>
        <v>Truck It In (Private) Limited</v>
      </c>
      <c r="K22" s="44" t="str">
        <f>'Transaction Mapping'!O12</f>
        <v>N/A</v>
      </c>
      <c r="L22" s="44" t="str">
        <f t="shared" si="3"/>
        <v>Posted</v>
      </c>
      <c r="M22" s="44" t="str">
        <f>'Transaction Mapping'!T12</f>
        <v>Transfer</v>
      </c>
    </row>
    <row r="23" ht="15.75" customHeight="1">
      <c r="A23" s="44" t="str">
        <f t="shared" ref="A23:A24" si="13">"JE-011"</f>
        <v>JE-011</v>
      </c>
      <c r="B23" s="46">
        <f>'Transaction Mapping'!C13</f>
        <v>45846</v>
      </c>
      <c r="C23" s="44" t="str">
        <f t="shared" si="2"/>
        <v>Bank Statement</v>
      </c>
      <c r="D23" s="44" t="str">
        <f>'Transaction Mapping'!E13</f>
        <v>HBL250708012</v>
      </c>
      <c r="E23" s="44" t="str">
        <f>'Transaction Mapping'!D13</f>
        <v>IBFT CR - Merchant advance repayment - Saeed Ghani</v>
      </c>
      <c r="F23" s="44">
        <f>'Transaction Mapping'!K13</f>
        <v>1029</v>
      </c>
      <c r="G23" s="44" t="str">
        <f>'Transaction Mapping'!L13</f>
        <v>GL not found</v>
      </c>
      <c r="H23" s="47">
        <f>IF('Transaction Mapping'!G13&gt;0,'Transaction Mapping'!G13,0)</f>
        <v>175000</v>
      </c>
      <c r="I23" s="47">
        <f>IF('Transaction Mapping'!F13&gt;0,'Transaction Mapping'!F13,0)</f>
        <v>0</v>
      </c>
      <c r="J23" s="44" t="str">
        <f>'Transaction Mapping'!P13</f>
        <v>Truck It In (Private) Limited</v>
      </c>
      <c r="K23" s="44" t="str">
        <f>'Transaction Mapping'!O13</f>
        <v>N/A</v>
      </c>
      <c r="L23" s="44" t="str">
        <f t="shared" si="3"/>
        <v>Posted</v>
      </c>
      <c r="M23" s="44" t="str">
        <f>'Transaction Mapping'!T13</f>
        <v>Operating - Receipts</v>
      </c>
    </row>
    <row r="24" ht="15.75" customHeight="1">
      <c r="A24" s="44" t="str">
        <f t="shared" si="13"/>
        <v>JE-011</v>
      </c>
      <c r="B24" s="46">
        <f>'Transaction Mapping'!C13</f>
        <v>45846</v>
      </c>
      <c r="C24" s="44" t="str">
        <f t="shared" si="2"/>
        <v>Bank Statement</v>
      </c>
      <c r="D24" s="44" t="str">
        <f>'Transaction Mapping'!E13</f>
        <v>HBL250708012</v>
      </c>
      <c r="E24" s="44" t="str">
        <f>'Transaction Mapping'!D13</f>
        <v>IBFT CR - Merchant advance repayment - Saeed Ghani</v>
      </c>
      <c r="F24" s="44">
        <f>'Transaction Mapping'!M13</f>
        <v>1018</v>
      </c>
      <c r="G24" s="44" t="str">
        <f>'Transaction Mapping'!N13</f>
        <v>GL not found</v>
      </c>
      <c r="H24" s="47">
        <f>IF('Transaction Mapping'!F13&gt;0,'Transaction Mapping'!F13,0)</f>
        <v>0</v>
      </c>
      <c r="I24" s="47">
        <f>IF('Transaction Mapping'!G13&gt;0,'Transaction Mapping'!G13,0)</f>
        <v>175000</v>
      </c>
      <c r="J24" s="44" t="str">
        <f>'Transaction Mapping'!P13</f>
        <v>Truck It In (Private) Limited</v>
      </c>
      <c r="K24" s="44" t="str">
        <f>'Transaction Mapping'!O13</f>
        <v>N/A</v>
      </c>
      <c r="L24" s="44" t="str">
        <f t="shared" si="3"/>
        <v>Posted</v>
      </c>
      <c r="M24" s="44" t="str">
        <f>'Transaction Mapping'!T13</f>
        <v>Operating - Receipts</v>
      </c>
    </row>
    <row r="25" ht="15.75" customHeight="1">
      <c r="A25" s="44" t="str">
        <f t="shared" ref="A25:A26" si="14">"JE-012"</f>
        <v>JE-012</v>
      </c>
      <c r="B25" s="46">
        <f>'Transaction Mapping'!C14</f>
        <v>45846</v>
      </c>
      <c r="C25" s="44" t="str">
        <f t="shared" si="2"/>
        <v>Bank Statement</v>
      </c>
      <c r="D25" s="44" t="str">
        <f>'Transaction Mapping'!E14</f>
        <v>HBL250708013</v>
      </c>
      <c r="E25" s="44" t="str">
        <f>'Transaction Mapping'!D14</f>
        <v>Online transfer - Vehicle maintenance - Toyota Islamabad</v>
      </c>
      <c r="F25" s="44">
        <f>'Transaction Mapping'!K14</f>
        <v>1029</v>
      </c>
      <c r="G25" s="44" t="str">
        <f>'Transaction Mapping'!L14</f>
        <v>GL not found</v>
      </c>
      <c r="H25" s="47">
        <f>IF('Transaction Mapping'!G14&gt;0,'Transaction Mapping'!G14,0)</f>
        <v>0</v>
      </c>
      <c r="I25" s="47">
        <f>IF('Transaction Mapping'!F14&gt;0,'Transaction Mapping'!F14,0)</f>
        <v>96750</v>
      </c>
      <c r="J25" s="44" t="str">
        <f>'Transaction Mapping'!P14</f>
        <v>Truck It In (Private) Limited</v>
      </c>
      <c r="K25" s="44" t="str">
        <f>'Transaction Mapping'!O14</f>
        <v>Input tax review</v>
      </c>
      <c r="L25" s="44" t="str">
        <f t="shared" si="3"/>
        <v>Posted</v>
      </c>
      <c r="M25" s="44" t="str">
        <f>'Transaction Mapping'!T14</f>
        <v>Operating - Payments</v>
      </c>
    </row>
    <row r="26" ht="15.75" customHeight="1">
      <c r="A26" s="44" t="str">
        <f t="shared" si="14"/>
        <v>JE-012</v>
      </c>
      <c r="B26" s="46">
        <f>'Transaction Mapping'!C14</f>
        <v>45846</v>
      </c>
      <c r="C26" s="44" t="str">
        <f t="shared" si="2"/>
        <v>Bank Statement</v>
      </c>
      <c r="D26" s="44" t="str">
        <f>'Transaction Mapping'!E14</f>
        <v>HBL250708013</v>
      </c>
      <c r="E26" s="44" t="str">
        <f>'Transaction Mapping'!D14</f>
        <v>Online transfer - Vehicle maintenance - Toyota Islamabad</v>
      </c>
      <c r="F26" s="44">
        <f>'Transaction Mapping'!M14</f>
        <v>1068</v>
      </c>
      <c r="G26" s="44" t="str">
        <f>'Transaction Mapping'!N14</f>
        <v>GL not found</v>
      </c>
      <c r="H26" s="47">
        <f>IF('Transaction Mapping'!F14&gt;0,'Transaction Mapping'!F14,0)</f>
        <v>96750</v>
      </c>
      <c r="I26" s="47">
        <f>IF('Transaction Mapping'!G14&gt;0,'Transaction Mapping'!G14,0)</f>
        <v>0</v>
      </c>
      <c r="J26" s="44" t="str">
        <f>'Transaction Mapping'!P14</f>
        <v>Truck It In (Private) Limited</v>
      </c>
      <c r="K26" s="44" t="str">
        <f>'Transaction Mapping'!O14</f>
        <v>Input tax review</v>
      </c>
      <c r="L26" s="44" t="str">
        <f t="shared" si="3"/>
        <v>Posted</v>
      </c>
      <c r="M26" s="44" t="str">
        <f>'Transaction Mapping'!T14</f>
        <v>Operating - Payments</v>
      </c>
    </row>
    <row r="27" ht="15.75" customHeight="1">
      <c r="A27" s="44" t="str">
        <f t="shared" ref="A27:A28" si="15">"JE-013"</f>
        <v>JE-013</v>
      </c>
      <c r="B27" s="46">
        <f>'Transaction Mapping'!C15</f>
        <v>45847</v>
      </c>
      <c r="C27" s="44" t="str">
        <f t="shared" si="2"/>
        <v>Bank Statement</v>
      </c>
      <c r="D27" s="44" t="str">
        <f>'Transaction Mapping'!E15</f>
        <v>HBL250709014</v>
      </c>
      <c r="E27" s="44" t="str">
        <f>'Transaction Mapping'!D15</f>
        <v>Card 8821 - Microsoft 365 Business subscription</v>
      </c>
      <c r="F27" s="44">
        <f>'Transaction Mapping'!K15</f>
        <v>1029</v>
      </c>
      <c r="G27" s="44" t="str">
        <f>'Transaction Mapping'!L15</f>
        <v>GL not found</v>
      </c>
      <c r="H27" s="47">
        <f>IF('Transaction Mapping'!G15&gt;0,'Transaction Mapping'!G15,0)</f>
        <v>0</v>
      </c>
      <c r="I27" s="47">
        <f>IF('Transaction Mapping'!F15&gt;0,'Transaction Mapping'!F15,0)</f>
        <v>36500</v>
      </c>
      <c r="J27" s="44" t="str">
        <f>'Transaction Mapping'!P15</f>
        <v>Truck It In (Private) Limited</v>
      </c>
      <c r="K27" s="44" t="str">
        <f>'Transaction Mapping'!O15</f>
        <v>Reverse charge review</v>
      </c>
      <c r="L27" s="44" t="str">
        <f t="shared" si="3"/>
        <v>Posted</v>
      </c>
      <c r="M27" s="44" t="str">
        <f>'Transaction Mapping'!T15</f>
        <v>Operating - Payments</v>
      </c>
    </row>
    <row r="28" ht="15.75" customHeight="1">
      <c r="A28" s="44" t="str">
        <f t="shared" si="15"/>
        <v>JE-013</v>
      </c>
      <c r="B28" s="46">
        <f>'Transaction Mapping'!C15</f>
        <v>45847</v>
      </c>
      <c r="C28" s="44" t="str">
        <f t="shared" si="2"/>
        <v>Bank Statement</v>
      </c>
      <c r="D28" s="44" t="str">
        <f>'Transaction Mapping'!E15</f>
        <v>HBL250709014</v>
      </c>
      <c r="E28" s="44" t="str">
        <f>'Transaction Mapping'!D15</f>
        <v>Card 8821 - Microsoft 365 Business subscription</v>
      </c>
      <c r="F28" s="44">
        <f>'Transaction Mapping'!M15</f>
        <v>1068</v>
      </c>
      <c r="G28" s="44" t="str">
        <f>'Transaction Mapping'!N15</f>
        <v>GL not found</v>
      </c>
      <c r="H28" s="47">
        <f>IF('Transaction Mapping'!F15&gt;0,'Transaction Mapping'!F15,0)</f>
        <v>36500</v>
      </c>
      <c r="I28" s="47">
        <f>IF('Transaction Mapping'!G15&gt;0,'Transaction Mapping'!G15,0)</f>
        <v>0</v>
      </c>
      <c r="J28" s="44" t="str">
        <f>'Transaction Mapping'!P15</f>
        <v>Truck It In (Private) Limited</v>
      </c>
      <c r="K28" s="44" t="str">
        <f>'Transaction Mapping'!O15</f>
        <v>Reverse charge review</v>
      </c>
      <c r="L28" s="44" t="str">
        <f t="shared" si="3"/>
        <v>Posted</v>
      </c>
      <c r="M28" s="44" t="str">
        <f>'Transaction Mapping'!T15</f>
        <v>Operating - Payments</v>
      </c>
    </row>
    <row r="29" ht="15.75" customHeight="1">
      <c r="A29" s="44" t="str">
        <f t="shared" ref="A29:A30" si="16">"JE-014"</f>
        <v>JE-014</v>
      </c>
      <c r="B29" s="46">
        <f>'Transaction Mapping'!C16</f>
        <v>45847</v>
      </c>
      <c r="C29" s="44" t="str">
        <f t="shared" si="2"/>
        <v>Bank Statement</v>
      </c>
      <c r="D29" s="44" t="str">
        <f>'Transaction Mapping'!E16</f>
        <v>HBL250709015</v>
      </c>
      <c r="E29" s="44" t="str">
        <f>'Transaction Mapping'!D16</f>
        <v>Foreign transaction fee - Microsoft subscription</v>
      </c>
      <c r="F29" s="44">
        <f>'Transaction Mapping'!K16</f>
        <v>1029</v>
      </c>
      <c r="G29" s="44" t="str">
        <f>'Transaction Mapping'!L16</f>
        <v>GL not found</v>
      </c>
      <c r="H29" s="47">
        <f>IF('Transaction Mapping'!G16&gt;0,'Transaction Mapping'!G16,0)</f>
        <v>0</v>
      </c>
      <c r="I29" s="47">
        <f>IF('Transaction Mapping'!F16&gt;0,'Transaction Mapping'!F16,0)</f>
        <v>1095</v>
      </c>
      <c r="J29" s="44" t="str">
        <f>'Transaction Mapping'!P16</f>
        <v>Truck It In (Private) Limited</v>
      </c>
      <c r="K29" s="44" t="str">
        <f>'Transaction Mapping'!O16</f>
        <v>N/A</v>
      </c>
      <c r="L29" s="44" t="str">
        <f t="shared" si="3"/>
        <v>Posted</v>
      </c>
      <c r="M29" s="44" t="str">
        <f>'Transaction Mapping'!T16</f>
        <v>Operating - Payments</v>
      </c>
    </row>
    <row r="30" ht="15.75" customHeight="1">
      <c r="A30" s="44" t="str">
        <f t="shared" si="16"/>
        <v>JE-014</v>
      </c>
      <c r="B30" s="46">
        <f>'Transaction Mapping'!C16</f>
        <v>45847</v>
      </c>
      <c r="C30" s="44" t="str">
        <f t="shared" si="2"/>
        <v>Bank Statement</v>
      </c>
      <c r="D30" s="44" t="str">
        <f>'Transaction Mapping'!E16</f>
        <v>HBL250709015</v>
      </c>
      <c r="E30" s="44" t="str">
        <f>'Transaction Mapping'!D16</f>
        <v>Foreign transaction fee - Microsoft subscription</v>
      </c>
      <c r="F30" s="44">
        <f>'Transaction Mapping'!M16</f>
        <v>1057</v>
      </c>
      <c r="G30" s="44" t="str">
        <f>'Transaction Mapping'!N16</f>
        <v>GL not found</v>
      </c>
      <c r="H30" s="47">
        <f>IF('Transaction Mapping'!F16&gt;0,'Transaction Mapping'!F16,0)</f>
        <v>1095</v>
      </c>
      <c r="I30" s="47">
        <f>IF('Transaction Mapping'!G16&gt;0,'Transaction Mapping'!G16,0)</f>
        <v>0</v>
      </c>
      <c r="J30" s="44" t="str">
        <f>'Transaction Mapping'!P16</f>
        <v>Truck It In (Private) Limited</v>
      </c>
      <c r="K30" s="44" t="str">
        <f>'Transaction Mapping'!O16</f>
        <v>N/A</v>
      </c>
      <c r="L30" s="44" t="str">
        <f t="shared" si="3"/>
        <v>Posted</v>
      </c>
      <c r="M30" s="44" t="str">
        <f>'Transaction Mapping'!T16</f>
        <v>Operating - Payments</v>
      </c>
    </row>
    <row r="31" ht="15.75" customHeight="1">
      <c r="A31" s="44" t="str">
        <f t="shared" ref="A31:A32" si="17">"JE-015"</f>
        <v>JE-015</v>
      </c>
      <c r="B31" s="46">
        <f>'Transaction Mapping'!C17</f>
        <v>45848</v>
      </c>
      <c r="C31" s="44" t="str">
        <f t="shared" si="2"/>
        <v>Bank Statement</v>
      </c>
      <c r="D31" s="44" t="str">
        <f>'Transaction Mapping'!E17</f>
        <v>CD250710</v>
      </c>
      <c r="E31" s="44" t="str">
        <f>'Transaction Mapping'!D17</f>
        <v>Cash deposit - Islamabad operations collections</v>
      </c>
      <c r="F31" s="44">
        <f>'Transaction Mapping'!K17</f>
        <v>1029</v>
      </c>
      <c r="G31" s="44" t="str">
        <f>'Transaction Mapping'!L17</f>
        <v>GL not found</v>
      </c>
      <c r="H31" s="47">
        <f>IF('Transaction Mapping'!G17&gt;0,'Transaction Mapping'!G17,0)</f>
        <v>224000</v>
      </c>
      <c r="I31" s="47">
        <f>IF('Transaction Mapping'!F17&gt;0,'Transaction Mapping'!F17,0)</f>
        <v>0</v>
      </c>
      <c r="J31" s="44" t="str">
        <f>'Transaction Mapping'!P17</f>
        <v>Truck It In (Private) Limited</v>
      </c>
      <c r="K31" s="44" t="str">
        <f>'Transaction Mapping'!O17</f>
        <v>Output tax review</v>
      </c>
      <c r="L31" s="44" t="str">
        <f t="shared" si="3"/>
        <v>Posted</v>
      </c>
      <c r="M31" s="44" t="str">
        <f>'Transaction Mapping'!T17</f>
        <v>Operating - Receipts</v>
      </c>
    </row>
    <row r="32" ht="15.75" customHeight="1">
      <c r="A32" s="44" t="str">
        <f t="shared" si="17"/>
        <v>JE-015</v>
      </c>
      <c r="B32" s="46">
        <f>'Transaction Mapping'!C17</f>
        <v>45848</v>
      </c>
      <c r="C32" s="44" t="str">
        <f t="shared" si="2"/>
        <v>Bank Statement</v>
      </c>
      <c r="D32" s="44" t="str">
        <f>'Transaction Mapping'!E17</f>
        <v>CD250710</v>
      </c>
      <c r="E32" s="44" t="str">
        <f>'Transaction Mapping'!D17</f>
        <v>Cash deposit - Islamabad operations collections</v>
      </c>
      <c r="F32" s="44">
        <f>'Transaction Mapping'!M17</f>
        <v>1050</v>
      </c>
      <c r="G32" s="44" t="str">
        <f>'Transaction Mapping'!N17</f>
        <v>GL not found</v>
      </c>
      <c r="H32" s="47">
        <f>IF('Transaction Mapping'!F17&gt;0,'Transaction Mapping'!F17,0)</f>
        <v>0</v>
      </c>
      <c r="I32" s="47">
        <f>IF('Transaction Mapping'!G17&gt;0,'Transaction Mapping'!G17,0)</f>
        <v>224000</v>
      </c>
      <c r="J32" s="44" t="str">
        <f>'Transaction Mapping'!P17</f>
        <v>Truck It In (Private) Limited</v>
      </c>
      <c r="K32" s="44" t="str">
        <f>'Transaction Mapping'!O17</f>
        <v>Output tax review</v>
      </c>
      <c r="L32" s="44" t="str">
        <f t="shared" si="3"/>
        <v>Posted</v>
      </c>
      <c r="M32" s="44" t="str">
        <f>'Transaction Mapping'!T17</f>
        <v>Operating - Receipts</v>
      </c>
    </row>
    <row r="33" ht="15.75" customHeight="1">
      <c r="A33" s="44" t="str">
        <f t="shared" ref="A33:A34" si="18">"JE-016"</f>
        <v>JE-016</v>
      </c>
      <c r="B33" s="46">
        <f>'Transaction Mapping'!C18</f>
        <v>45849</v>
      </c>
      <c r="C33" s="44" t="str">
        <f t="shared" si="2"/>
        <v>Bank Statement</v>
      </c>
      <c r="D33" s="44" t="str">
        <f>'Transaction Mapping'!E18</f>
        <v>CHQ104584</v>
      </c>
      <c r="E33" s="44" t="str">
        <f>'Transaction Mapping'!D18</f>
        <v>Cheque 104584 - Warehouse security deposit</v>
      </c>
      <c r="F33" s="44">
        <f>'Transaction Mapping'!K18</f>
        <v>1029</v>
      </c>
      <c r="G33" s="44" t="str">
        <f>'Transaction Mapping'!L18</f>
        <v>GL not found</v>
      </c>
      <c r="H33" s="47">
        <f>IF('Transaction Mapping'!G18&gt;0,'Transaction Mapping'!G18,0)</f>
        <v>0</v>
      </c>
      <c r="I33" s="47">
        <f>IF('Transaction Mapping'!F18&gt;0,'Transaction Mapping'!F18,0)</f>
        <v>200000</v>
      </c>
      <c r="J33" s="44" t="str">
        <f>'Transaction Mapping'!P18</f>
        <v>Truck It In (Private) Limited</v>
      </c>
      <c r="K33" s="44" t="str">
        <f>'Transaction Mapping'!O18</f>
        <v>N/A</v>
      </c>
      <c r="L33" s="44" t="str">
        <f t="shared" si="3"/>
        <v>Posted</v>
      </c>
      <c r="M33" s="44" t="str">
        <f>'Transaction Mapping'!T18</f>
        <v>Investing - Payments</v>
      </c>
    </row>
    <row r="34" ht="15.75" customHeight="1">
      <c r="A34" s="44" t="str">
        <f t="shared" si="18"/>
        <v>JE-016</v>
      </c>
      <c r="B34" s="46">
        <f>'Transaction Mapping'!C18</f>
        <v>45849</v>
      </c>
      <c r="C34" s="44" t="str">
        <f t="shared" si="2"/>
        <v>Bank Statement</v>
      </c>
      <c r="D34" s="44" t="str">
        <f>'Transaction Mapping'!E18</f>
        <v>CHQ104584</v>
      </c>
      <c r="E34" s="44" t="str">
        <f>'Transaction Mapping'!D18</f>
        <v>Cheque 104584 - Warehouse security deposit</v>
      </c>
      <c r="F34" s="44">
        <f>'Transaction Mapping'!M18</f>
        <v>1021</v>
      </c>
      <c r="G34" s="44" t="str">
        <f>'Transaction Mapping'!N18</f>
        <v>GL not found</v>
      </c>
      <c r="H34" s="47">
        <f>IF('Transaction Mapping'!F18&gt;0,'Transaction Mapping'!F18,0)</f>
        <v>200000</v>
      </c>
      <c r="I34" s="47">
        <f>IF('Transaction Mapping'!G18&gt;0,'Transaction Mapping'!G18,0)</f>
        <v>0</v>
      </c>
      <c r="J34" s="44" t="str">
        <f>'Transaction Mapping'!P18</f>
        <v>Truck It In (Private) Limited</v>
      </c>
      <c r="K34" s="44" t="str">
        <f>'Transaction Mapping'!O18</f>
        <v>N/A</v>
      </c>
      <c r="L34" s="44" t="str">
        <f t="shared" si="3"/>
        <v>Posted</v>
      </c>
      <c r="M34" s="44" t="str">
        <f>'Transaction Mapping'!T18</f>
        <v>Investing - Payments</v>
      </c>
    </row>
    <row r="35" ht="15.75" customHeight="1">
      <c r="A35" s="44" t="str">
        <f t="shared" ref="A35:A36" si="19">"JE-017"</f>
        <v>JE-017</v>
      </c>
      <c r="B35" s="46">
        <f>'Transaction Mapping'!C19</f>
        <v>45850</v>
      </c>
      <c r="C35" s="44" t="str">
        <f t="shared" si="2"/>
        <v>Bank Statement</v>
      </c>
      <c r="D35" s="44" t="str">
        <f>'Transaction Mapping'!E19</f>
        <v>HBL250712018</v>
      </c>
      <c r="E35" s="44" t="str">
        <f>'Transaction Mapping'!D19</f>
        <v>IBFT CR - Daraz Pakistan settlement INV-DZ-250712</v>
      </c>
      <c r="F35" s="44">
        <f>'Transaction Mapping'!K19</f>
        <v>1029</v>
      </c>
      <c r="G35" s="44" t="str">
        <f>'Transaction Mapping'!L19</f>
        <v>GL not found</v>
      </c>
      <c r="H35" s="47">
        <f>IF('Transaction Mapping'!G19&gt;0,'Transaction Mapping'!G19,0)</f>
        <v>742500</v>
      </c>
      <c r="I35" s="47">
        <f>IF('Transaction Mapping'!F19&gt;0,'Transaction Mapping'!F19,0)</f>
        <v>0</v>
      </c>
      <c r="J35" s="44" t="str">
        <f>'Transaction Mapping'!P19</f>
        <v>Truck It In (Private) Limited</v>
      </c>
      <c r="K35" s="44" t="str">
        <f>'Transaction Mapping'!O19</f>
        <v>N/A</v>
      </c>
      <c r="L35" s="44" t="str">
        <f t="shared" si="3"/>
        <v>Posted</v>
      </c>
      <c r="M35" s="44" t="str">
        <f>'Transaction Mapping'!T19</f>
        <v>Operating - Receipts</v>
      </c>
    </row>
    <row r="36" ht="15.75" customHeight="1">
      <c r="A36" s="44" t="str">
        <f t="shared" si="19"/>
        <v>JE-017</v>
      </c>
      <c r="B36" s="46">
        <f>'Transaction Mapping'!C19</f>
        <v>45850</v>
      </c>
      <c r="C36" s="44" t="str">
        <f t="shared" si="2"/>
        <v>Bank Statement</v>
      </c>
      <c r="D36" s="44" t="str">
        <f>'Transaction Mapping'!E19</f>
        <v>HBL250712018</v>
      </c>
      <c r="E36" s="44" t="str">
        <f>'Transaction Mapping'!D19</f>
        <v>IBFT CR - Daraz Pakistan settlement INV-DZ-250712</v>
      </c>
      <c r="F36" s="44">
        <f>'Transaction Mapping'!M19</f>
        <v>1018</v>
      </c>
      <c r="G36" s="44" t="str">
        <f>'Transaction Mapping'!N19</f>
        <v>GL not found</v>
      </c>
      <c r="H36" s="47">
        <f>IF('Transaction Mapping'!F19&gt;0,'Transaction Mapping'!F19,0)</f>
        <v>0</v>
      </c>
      <c r="I36" s="47">
        <f>IF('Transaction Mapping'!G19&gt;0,'Transaction Mapping'!G19,0)</f>
        <v>742500</v>
      </c>
      <c r="J36" s="44" t="str">
        <f>'Transaction Mapping'!P19</f>
        <v>Truck It In (Private) Limited</v>
      </c>
      <c r="K36" s="44" t="str">
        <f>'Transaction Mapping'!O19</f>
        <v>N/A</v>
      </c>
      <c r="L36" s="44" t="str">
        <f t="shared" si="3"/>
        <v>Posted</v>
      </c>
      <c r="M36" s="44" t="str">
        <f>'Transaction Mapping'!T19</f>
        <v>Operating - Receipts</v>
      </c>
    </row>
    <row r="37" ht="15.75" customHeight="1">
      <c r="A37" s="44" t="str">
        <f t="shared" ref="A37:A38" si="20">"JE-018"</f>
        <v>JE-018</v>
      </c>
      <c r="B37" s="46">
        <f>'Transaction Mapping'!C20</f>
        <v>45852</v>
      </c>
      <c r="C37" s="44" t="str">
        <f t="shared" si="2"/>
        <v>Bank Statement</v>
      </c>
      <c r="D37" s="44" t="str">
        <f>'Transaction Mapping'!E20</f>
        <v>HBL250714019</v>
      </c>
      <c r="E37" s="44" t="str">
        <f>'Transaction Mapping'!D20</f>
        <v>Online transfer - Diesel supplier - PSO Fleet Card</v>
      </c>
      <c r="F37" s="44">
        <f>'Transaction Mapping'!K20</f>
        <v>1029</v>
      </c>
      <c r="G37" s="44" t="str">
        <f>'Transaction Mapping'!L20</f>
        <v>GL not found</v>
      </c>
      <c r="H37" s="47">
        <f>IF('Transaction Mapping'!G20&gt;0,'Transaction Mapping'!G20,0)</f>
        <v>0</v>
      </c>
      <c r="I37" s="47">
        <f>IF('Transaction Mapping'!F20&gt;0,'Transaction Mapping'!F20,0)</f>
        <v>386200</v>
      </c>
      <c r="J37" s="44" t="str">
        <f>'Transaction Mapping'!P20</f>
        <v>Truck It In (Private) Limited</v>
      </c>
      <c r="K37" s="44" t="str">
        <f>'Transaction Mapping'!O20</f>
        <v>Input tax review</v>
      </c>
      <c r="L37" s="44" t="str">
        <f t="shared" si="3"/>
        <v>Posted</v>
      </c>
      <c r="M37" s="44" t="str">
        <f>'Transaction Mapping'!T20</f>
        <v>Operating - Payments</v>
      </c>
    </row>
    <row r="38" ht="15.75" customHeight="1">
      <c r="A38" s="44" t="str">
        <f t="shared" si="20"/>
        <v>JE-018</v>
      </c>
      <c r="B38" s="46">
        <f>'Transaction Mapping'!C20</f>
        <v>45852</v>
      </c>
      <c r="C38" s="44" t="str">
        <f t="shared" si="2"/>
        <v>Bank Statement</v>
      </c>
      <c r="D38" s="44" t="str">
        <f>'Transaction Mapping'!E20</f>
        <v>HBL250714019</v>
      </c>
      <c r="E38" s="44" t="str">
        <f>'Transaction Mapping'!D20</f>
        <v>Online transfer - Diesel supplier - PSO Fleet Card</v>
      </c>
      <c r="F38" s="44">
        <f>'Transaction Mapping'!M20</f>
        <v>1055</v>
      </c>
      <c r="G38" s="44" t="str">
        <f>'Transaction Mapping'!N20</f>
        <v>GL not found</v>
      </c>
      <c r="H38" s="47">
        <f>IF('Transaction Mapping'!F20&gt;0,'Transaction Mapping'!F20,0)</f>
        <v>386200</v>
      </c>
      <c r="I38" s="47">
        <f>IF('Transaction Mapping'!G20&gt;0,'Transaction Mapping'!G20,0)</f>
        <v>0</v>
      </c>
      <c r="J38" s="44" t="str">
        <f>'Transaction Mapping'!P20</f>
        <v>Truck It In (Private) Limited</v>
      </c>
      <c r="K38" s="44" t="str">
        <f>'Transaction Mapping'!O20</f>
        <v>Input tax review</v>
      </c>
      <c r="L38" s="44" t="str">
        <f t="shared" si="3"/>
        <v>Posted</v>
      </c>
      <c r="M38" s="44" t="str">
        <f>'Transaction Mapping'!T20</f>
        <v>Operating - Payments</v>
      </c>
    </row>
    <row r="39" ht="15.75" customHeight="1">
      <c r="A39" s="44" t="str">
        <f t="shared" ref="A39:A40" si="21">"JE-019"</f>
        <v>JE-019</v>
      </c>
      <c r="B39" s="46">
        <f>'Transaction Mapping'!C21</f>
        <v>45853</v>
      </c>
      <c r="C39" s="44" t="str">
        <f t="shared" si="2"/>
        <v>Bank Statement</v>
      </c>
      <c r="D39" s="44" t="str">
        <f>'Transaction Mapping'!E21</f>
        <v>HBL250715020</v>
      </c>
      <c r="E39" s="44" t="str">
        <f>'Transaction Mapping'!D21</f>
        <v>Bank service charges - July</v>
      </c>
      <c r="F39" s="44">
        <f>'Transaction Mapping'!K21</f>
        <v>1029</v>
      </c>
      <c r="G39" s="44" t="str">
        <f>'Transaction Mapping'!L21</f>
        <v>GL not found</v>
      </c>
      <c r="H39" s="47">
        <f>IF('Transaction Mapping'!G21&gt;0,'Transaction Mapping'!G21,0)</f>
        <v>0</v>
      </c>
      <c r="I39" s="47">
        <f>IF('Transaction Mapping'!F21&gt;0,'Transaction Mapping'!F21,0)</f>
        <v>2500</v>
      </c>
      <c r="J39" s="44" t="str">
        <f>'Transaction Mapping'!P21</f>
        <v>Truck It In (Private) Limited</v>
      </c>
      <c r="K39" s="44" t="str">
        <f>'Transaction Mapping'!O21</f>
        <v>N/A</v>
      </c>
      <c r="L39" s="44" t="str">
        <f t="shared" si="3"/>
        <v>Posted</v>
      </c>
      <c r="M39" s="44" t="str">
        <f>'Transaction Mapping'!T21</f>
        <v>Operating - Payments</v>
      </c>
    </row>
    <row r="40" ht="15.75" customHeight="1">
      <c r="A40" s="44" t="str">
        <f t="shared" si="21"/>
        <v>JE-019</v>
      </c>
      <c r="B40" s="46">
        <f>'Transaction Mapping'!C21</f>
        <v>45853</v>
      </c>
      <c r="C40" s="44" t="str">
        <f t="shared" si="2"/>
        <v>Bank Statement</v>
      </c>
      <c r="D40" s="44" t="str">
        <f>'Transaction Mapping'!E21</f>
        <v>HBL250715020</v>
      </c>
      <c r="E40" s="44" t="str">
        <f>'Transaction Mapping'!D21</f>
        <v>Bank service charges - July</v>
      </c>
      <c r="F40" s="44">
        <f>'Transaction Mapping'!M21</f>
        <v>1057</v>
      </c>
      <c r="G40" s="44" t="str">
        <f>'Transaction Mapping'!N21</f>
        <v>GL not found</v>
      </c>
      <c r="H40" s="47">
        <f>IF('Transaction Mapping'!F21&gt;0,'Transaction Mapping'!F21,0)</f>
        <v>2500</v>
      </c>
      <c r="I40" s="47">
        <f>IF('Transaction Mapping'!G21&gt;0,'Transaction Mapping'!G21,0)</f>
        <v>0</v>
      </c>
      <c r="J40" s="44" t="str">
        <f>'Transaction Mapping'!P21</f>
        <v>Truck It In (Private) Limited</v>
      </c>
      <c r="K40" s="44" t="str">
        <f>'Transaction Mapping'!O21</f>
        <v>N/A</v>
      </c>
      <c r="L40" s="44" t="str">
        <f t="shared" si="3"/>
        <v>Posted</v>
      </c>
      <c r="M40" s="44" t="str">
        <f>'Transaction Mapping'!T21</f>
        <v>Operating - Payments</v>
      </c>
    </row>
    <row r="41" ht="15.75" customHeight="1">
      <c r="A41" s="44" t="str">
        <f t="shared" ref="A41:A42" si="22">"JE-020"</f>
        <v>JE-020</v>
      </c>
      <c r="B41" s="46">
        <f>'Transaction Mapping'!C22</f>
        <v>45853</v>
      </c>
      <c r="C41" s="44" t="str">
        <f t="shared" si="2"/>
        <v>Bank Statement</v>
      </c>
      <c r="D41" s="44" t="str">
        <f>'Transaction Mapping'!E22</f>
        <v>HBL250715021</v>
      </c>
      <c r="E41" s="44" t="str">
        <f>'Transaction Mapping'!D22</f>
        <v>FED on bank service charges</v>
      </c>
      <c r="F41" s="44">
        <f>'Transaction Mapping'!K22</f>
        <v>1029</v>
      </c>
      <c r="G41" s="44" t="str">
        <f>'Transaction Mapping'!L22</f>
        <v>GL not found</v>
      </c>
      <c r="H41" s="47">
        <f>IF('Transaction Mapping'!G22&gt;0,'Transaction Mapping'!G22,0)</f>
        <v>0</v>
      </c>
      <c r="I41" s="47">
        <f>IF('Transaction Mapping'!F22&gt;0,'Transaction Mapping'!F22,0)</f>
        <v>400</v>
      </c>
      <c r="J41" s="44" t="str">
        <f>'Transaction Mapping'!P22</f>
        <v>Truck It In (Private) Limited</v>
      </c>
      <c r="K41" s="44" t="str">
        <f>'Transaction Mapping'!O22</f>
        <v>FED expense</v>
      </c>
      <c r="L41" s="44" t="str">
        <f t="shared" si="3"/>
        <v>Posted</v>
      </c>
      <c r="M41" s="44" t="str">
        <f>'Transaction Mapping'!T22</f>
        <v>Operating - Payments</v>
      </c>
    </row>
    <row r="42" ht="15.75" customHeight="1">
      <c r="A42" s="44" t="str">
        <f t="shared" si="22"/>
        <v>JE-020</v>
      </c>
      <c r="B42" s="46">
        <f>'Transaction Mapping'!C22</f>
        <v>45853</v>
      </c>
      <c r="C42" s="44" t="str">
        <f t="shared" si="2"/>
        <v>Bank Statement</v>
      </c>
      <c r="D42" s="44" t="str">
        <f>'Transaction Mapping'!E22</f>
        <v>HBL250715021</v>
      </c>
      <c r="E42" s="44" t="str">
        <f>'Transaction Mapping'!D22</f>
        <v>FED on bank service charges</v>
      </c>
      <c r="F42" s="44">
        <f>'Transaction Mapping'!M22</f>
        <v>1068</v>
      </c>
      <c r="G42" s="44" t="str">
        <f>'Transaction Mapping'!N22</f>
        <v>GL not found</v>
      </c>
      <c r="H42" s="47">
        <f>IF('Transaction Mapping'!F22&gt;0,'Transaction Mapping'!F22,0)</f>
        <v>400</v>
      </c>
      <c r="I42" s="47">
        <f>IF('Transaction Mapping'!G22&gt;0,'Transaction Mapping'!G22,0)</f>
        <v>0</v>
      </c>
      <c r="J42" s="44" t="str">
        <f>'Transaction Mapping'!P22</f>
        <v>Truck It In (Private) Limited</v>
      </c>
      <c r="K42" s="44" t="str">
        <f>'Transaction Mapping'!O22</f>
        <v>FED expense</v>
      </c>
      <c r="L42" s="44" t="str">
        <f t="shared" si="3"/>
        <v>Posted</v>
      </c>
      <c r="M42" s="44" t="str">
        <f>'Transaction Mapping'!T22</f>
        <v>Operating - Payments</v>
      </c>
    </row>
    <row r="43" ht="15.75" customHeight="1">
      <c r="A43" s="44" t="str">
        <f t="shared" ref="A43:A44" si="23">"JE-021"</f>
        <v>JE-021</v>
      </c>
      <c r="B43" s="46">
        <f>'Transaction Mapping'!C23</f>
        <v>45854</v>
      </c>
      <c r="C43" s="44" t="str">
        <f t="shared" si="2"/>
        <v>Bank Statement</v>
      </c>
      <c r="D43" s="44" t="str">
        <f>'Transaction Mapping'!E23</f>
        <v>HBL250716022</v>
      </c>
      <c r="E43" s="44" t="str">
        <f>'Transaction Mapping'!D23</f>
        <v>Raast CR - Corporate delivery customer AR-1098</v>
      </c>
      <c r="F43" s="44">
        <f>'Transaction Mapping'!K23</f>
        <v>1029</v>
      </c>
      <c r="G43" s="44" t="str">
        <f>'Transaction Mapping'!L23</f>
        <v>GL not found</v>
      </c>
      <c r="H43" s="47">
        <f>IF('Transaction Mapping'!G23&gt;0,'Transaction Mapping'!G23,0)</f>
        <v>455000</v>
      </c>
      <c r="I43" s="47">
        <f>IF('Transaction Mapping'!F23&gt;0,'Transaction Mapping'!F23,0)</f>
        <v>0</v>
      </c>
      <c r="J43" s="44" t="str">
        <f>'Transaction Mapping'!P23</f>
        <v>Truck It In (Private) Limited</v>
      </c>
      <c r="K43" s="44" t="str">
        <f>'Transaction Mapping'!O23</f>
        <v>N/A</v>
      </c>
      <c r="L43" s="44" t="str">
        <f t="shared" si="3"/>
        <v>Posted</v>
      </c>
      <c r="M43" s="44" t="str">
        <f>'Transaction Mapping'!T23</f>
        <v>Operating - Receipts</v>
      </c>
    </row>
    <row r="44" ht="15.75" customHeight="1">
      <c r="A44" s="44" t="str">
        <f t="shared" si="23"/>
        <v>JE-021</v>
      </c>
      <c r="B44" s="46">
        <f>'Transaction Mapping'!C23</f>
        <v>45854</v>
      </c>
      <c r="C44" s="44" t="str">
        <f t="shared" si="2"/>
        <v>Bank Statement</v>
      </c>
      <c r="D44" s="44" t="str">
        <f>'Transaction Mapping'!E23</f>
        <v>HBL250716022</v>
      </c>
      <c r="E44" s="44" t="str">
        <f>'Transaction Mapping'!D23</f>
        <v>Raast CR - Corporate delivery customer AR-1098</v>
      </c>
      <c r="F44" s="44">
        <f>'Transaction Mapping'!M23</f>
        <v>1018</v>
      </c>
      <c r="G44" s="44" t="str">
        <f>'Transaction Mapping'!N23</f>
        <v>GL not found</v>
      </c>
      <c r="H44" s="47">
        <f>IF('Transaction Mapping'!F23&gt;0,'Transaction Mapping'!F23,0)</f>
        <v>0</v>
      </c>
      <c r="I44" s="47">
        <f>IF('Transaction Mapping'!G23&gt;0,'Transaction Mapping'!G23,0)</f>
        <v>455000</v>
      </c>
      <c r="J44" s="44" t="str">
        <f>'Transaction Mapping'!P23</f>
        <v>Truck It In (Private) Limited</v>
      </c>
      <c r="K44" s="44" t="str">
        <f>'Transaction Mapping'!O23</f>
        <v>N/A</v>
      </c>
      <c r="L44" s="44" t="str">
        <f t="shared" si="3"/>
        <v>Posted</v>
      </c>
      <c r="M44" s="44" t="str">
        <f>'Transaction Mapping'!T23</f>
        <v>Operating - Receipts</v>
      </c>
    </row>
    <row r="45" ht="15.75" customHeight="1">
      <c r="A45" s="44" t="str">
        <f t="shared" ref="A45:A46" si="24">"JE-022"</f>
        <v>JE-022</v>
      </c>
      <c r="B45" s="46">
        <f>'Transaction Mapping'!C24</f>
        <v>45855</v>
      </c>
      <c r="C45" s="44" t="str">
        <f t="shared" si="2"/>
        <v>Bank Statement</v>
      </c>
      <c r="D45" s="44" t="str">
        <f>'Transaction Mapping'!E24</f>
        <v>HBL250717023</v>
      </c>
      <c r="E45" s="44" t="str">
        <f>'Transaction Mapping'!D24</f>
        <v>Online payment - Jazz corporate mobile bill</v>
      </c>
      <c r="F45" s="44">
        <f>'Transaction Mapping'!K24</f>
        <v>1029</v>
      </c>
      <c r="G45" s="44" t="str">
        <f>'Transaction Mapping'!L24</f>
        <v>GL not found</v>
      </c>
      <c r="H45" s="47">
        <f>IF('Transaction Mapping'!G24&gt;0,'Transaction Mapping'!G24,0)</f>
        <v>0</v>
      </c>
      <c r="I45" s="47">
        <f>IF('Transaction Mapping'!F24&gt;0,'Transaction Mapping'!F24,0)</f>
        <v>58750</v>
      </c>
      <c r="J45" s="44" t="str">
        <f>'Transaction Mapping'!P24</f>
        <v>Truck It In (Private) Limited</v>
      </c>
      <c r="K45" s="44" t="str">
        <f>'Transaction Mapping'!O24</f>
        <v>Input tax review</v>
      </c>
      <c r="L45" s="44" t="str">
        <f t="shared" si="3"/>
        <v>Posted</v>
      </c>
      <c r="M45" s="44" t="str">
        <f>'Transaction Mapping'!T24</f>
        <v>Operating - Payments</v>
      </c>
    </row>
    <row r="46" ht="15.75" customHeight="1">
      <c r="A46" s="44" t="str">
        <f t="shared" si="24"/>
        <v>JE-022</v>
      </c>
      <c r="B46" s="46">
        <f>'Transaction Mapping'!C24</f>
        <v>45855</v>
      </c>
      <c r="C46" s="44" t="str">
        <f t="shared" si="2"/>
        <v>Bank Statement</v>
      </c>
      <c r="D46" s="44" t="str">
        <f>'Transaction Mapping'!E24</f>
        <v>HBL250717023</v>
      </c>
      <c r="E46" s="44" t="str">
        <f>'Transaction Mapping'!D24</f>
        <v>Online payment - Jazz corporate mobile bill</v>
      </c>
      <c r="F46" s="44">
        <f>'Transaction Mapping'!M24</f>
        <v>1058</v>
      </c>
      <c r="G46" s="44" t="str">
        <f>'Transaction Mapping'!N24</f>
        <v>GL not found</v>
      </c>
      <c r="H46" s="47">
        <f>IF('Transaction Mapping'!F24&gt;0,'Transaction Mapping'!F24,0)</f>
        <v>58750</v>
      </c>
      <c r="I46" s="47">
        <f>IF('Transaction Mapping'!G24&gt;0,'Transaction Mapping'!G24,0)</f>
        <v>0</v>
      </c>
      <c r="J46" s="44" t="str">
        <f>'Transaction Mapping'!P24</f>
        <v>Truck It In (Private) Limited</v>
      </c>
      <c r="K46" s="44" t="str">
        <f>'Transaction Mapping'!O24</f>
        <v>Input tax review</v>
      </c>
      <c r="L46" s="44" t="str">
        <f t="shared" si="3"/>
        <v>Posted</v>
      </c>
      <c r="M46" s="44" t="str">
        <f>'Transaction Mapping'!T24</f>
        <v>Operating - Payments</v>
      </c>
    </row>
    <row r="47" ht="15.75" customHeight="1">
      <c r="A47" s="44" t="str">
        <f t="shared" ref="A47:A48" si="25">"JE-023"</f>
        <v>JE-023</v>
      </c>
      <c r="B47" s="46">
        <f>'Transaction Mapping'!C25</f>
        <v>45856</v>
      </c>
      <c r="C47" s="44" t="str">
        <f t="shared" si="2"/>
        <v>Bank Statement</v>
      </c>
      <c r="D47" s="44" t="str">
        <f>'Transaction Mapping'!E25</f>
        <v>CHQ104585</v>
      </c>
      <c r="E47" s="44" t="str">
        <f>'Transaction Mapping'!D25</f>
        <v>Cheque 104585 - Packaging material supplier</v>
      </c>
      <c r="F47" s="44">
        <f>'Transaction Mapping'!K25</f>
        <v>1029</v>
      </c>
      <c r="G47" s="44" t="str">
        <f>'Transaction Mapping'!L25</f>
        <v>GL not found</v>
      </c>
      <c r="H47" s="47">
        <f>IF('Transaction Mapping'!G25&gt;0,'Transaction Mapping'!G25,0)</f>
        <v>0</v>
      </c>
      <c r="I47" s="47">
        <f>IF('Transaction Mapping'!F25&gt;0,'Transaction Mapping'!F25,0)</f>
        <v>148600</v>
      </c>
      <c r="J47" s="44" t="str">
        <f>'Transaction Mapping'!P25</f>
        <v>Truck It In (Private) Limited</v>
      </c>
      <c r="K47" s="44" t="str">
        <f>'Transaction Mapping'!O25</f>
        <v>Input tax review</v>
      </c>
      <c r="L47" s="44" t="str">
        <f t="shared" si="3"/>
        <v>Posted</v>
      </c>
      <c r="M47" s="44" t="str">
        <f>'Transaction Mapping'!T25</f>
        <v>Operating - Payments</v>
      </c>
    </row>
    <row r="48" ht="15.75" customHeight="1">
      <c r="A48" s="44" t="str">
        <f t="shared" si="25"/>
        <v>JE-023</v>
      </c>
      <c r="B48" s="46">
        <f>'Transaction Mapping'!C25</f>
        <v>45856</v>
      </c>
      <c r="C48" s="44" t="str">
        <f t="shared" si="2"/>
        <v>Bank Statement</v>
      </c>
      <c r="D48" s="44" t="str">
        <f>'Transaction Mapping'!E25</f>
        <v>CHQ104585</v>
      </c>
      <c r="E48" s="44" t="str">
        <f>'Transaction Mapping'!D25</f>
        <v>Cheque 104585 - Packaging material supplier</v>
      </c>
      <c r="F48" s="44">
        <f>'Transaction Mapping'!M25</f>
        <v>1068</v>
      </c>
      <c r="G48" s="44" t="str">
        <f>'Transaction Mapping'!N25</f>
        <v>GL not found</v>
      </c>
      <c r="H48" s="47">
        <f>IF('Transaction Mapping'!F25&gt;0,'Transaction Mapping'!F25,0)</f>
        <v>148600</v>
      </c>
      <c r="I48" s="47">
        <f>IF('Transaction Mapping'!G25&gt;0,'Transaction Mapping'!G25,0)</f>
        <v>0</v>
      </c>
      <c r="J48" s="44" t="str">
        <f>'Transaction Mapping'!P25</f>
        <v>Truck It In (Private) Limited</v>
      </c>
      <c r="K48" s="44" t="str">
        <f>'Transaction Mapping'!O25</f>
        <v>Input tax review</v>
      </c>
      <c r="L48" s="44" t="str">
        <f t="shared" si="3"/>
        <v>Posted</v>
      </c>
      <c r="M48" s="44" t="str">
        <f>'Transaction Mapping'!T25</f>
        <v>Operating - Payments</v>
      </c>
    </row>
    <row r="49" ht="15.75" customHeight="1">
      <c r="A49" s="44" t="str">
        <f t="shared" ref="A49:A50" si="26">"JE-024"</f>
        <v>JE-024</v>
      </c>
      <c r="B49" s="46">
        <f>'Transaction Mapping'!C26</f>
        <v>45857</v>
      </c>
      <c r="C49" s="44" t="str">
        <f t="shared" si="2"/>
        <v>Bank Statement</v>
      </c>
      <c r="D49" s="44" t="str">
        <f>'Transaction Mapping'!E26</f>
        <v>HBL250719025</v>
      </c>
      <c r="E49" s="44" t="str">
        <f>'Transaction Mapping'!D26</f>
        <v>IBFT CR - Onic distribution collection Batch 0719</v>
      </c>
      <c r="F49" s="44">
        <f>'Transaction Mapping'!K26</f>
        <v>1029</v>
      </c>
      <c r="G49" s="44" t="str">
        <f>'Transaction Mapping'!L26</f>
        <v>GL not found</v>
      </c>
      <c r="H49" s="47">
        <f>IF('Transaction Mapping'!G26&gt;0,'Transaction Mapping'!G26,0)</f>
        <v>520000</v>
      </c>
      <c r="I49" s="47">
        <f>IF('Transaction Mapping'!F26&gt;0,'Transaction Mapping'!F26,0)</f>
        <v>0</v>
      </c>
      <c r="J49" s="44" t="str">
        <f>'Transaction Mapping'!P26</f>
        <v>Truck It In (Private) Limited</v>
      </c>
      <c r="K49" s="44" t="str">
        <f>'Transaction Mapping'!O26</f>
        <v>N/A</v>
      </c>
      <c r="L49" s="44" t="str">
        <f t="shared" si="3"/>
        <v>Posted</v>
      </c>
      <c r="M49" s="44" t="str">
        <f>'Transaction Mapping'!T26</f>
        <v>Operating - Receipts</v>
      </c>
    </row>
    <row r="50" ht="15.75" customHeight="1">
      <c r="A50" s="44" t="str">
        <f t="shared" si="26"/>
        <v>JE-024</v>
      </c>
      <c r="B50" s="46">
        <f>'Transaction Mapping'!C26</f>
        <v>45857</v>
      </c>
      <c r="C50" s="44" t="str">
        <f t="shared" si="2"/>
        <v>Bank Statement</v>
      </c>
      <c r="D50" s="44" t="str">
        <f>'Transaction Mapping'!E26</f>
        <v>HBL250719025</v>
      </c>
      <c r="E50" s="44" t="str">
        <f>'Transaction Mapping'!D26</f>
        <v>IBFT CR - Onic distribution collection Batch 0719</v>
      </c>
      <c r="F50" s="44">
        <f>'Transaction Mapping'!M26</f>
        <v>1018</v>
      </c>
      <c r="G50" s="44" t="str">
        <f>'Transaction Mapping'!N26</f>
        <v>GL not found</v>
      </c>
      <c r="H50" s="47">
        <f>IF('Transaction Mapping'!F26&gt;0,'Transaction Mapping'!F26,0)</f>
        <v>0</v>
      </c>
      <c r="I50" s="47">
        <f>IF('Transaction Mapping'!G26&gt;0,'Transaction Mapping'!G26,0)</f>
        <v>520000</v>
      </c>
      <c r="J50" s="44" t="str">
        <f>'Transaction Mapping'!P26</f>
        <v>Truck It In (Private) Limited</v>
      </c>
      <c r="K50" s="44" t="str">
        <f>'Transaction Mapping'!O26</f>
        <v>N/A</v>
      </c>
      <c r="L50" s="44" t="str">
        <f t="shared" si="3"/>
        <v>Posted</v>
      </c>
      <c r="M50" s="44" t="str">
        <f>'Transaction Mapping'!T26</f>
        <v>Operating - Receipts</v>
      </c>
    </row>
    <row r="51" ht="15.75" customHeight="1">
      <c r="A51" s="44" t="str">
        <f t="shared" ref="A51:A52" si="27">"JE-025"</f>
        <v>JE-025</v>
      </c>
      <c r="B51" s="46">
        <f>'Transaction Mapping'!C27</f>
        <v>45859</v>
      </c>
      <c r="C51" s="44" t="str">
        <f t="shared" si="2"/>
        <v>Bank Statement</v>
      </c>
      <c r="D51" s="44" t="str">
        <f>'Transaction Mapping'!E27</f>
        <v>HBL250721026</v>
      </c>
      <c r="E51" s="44" t="str">
        <f>'Transaction Mapping'!D27</f>
        <v>Transfer to Meezan Bank payroll account</v>
      </c>
      <c r="F51" s="44">
        <f>'Transaction Mapping'!K27</f>
        <v>1029</v>
      </c>
      <c r="G51" s="44" t="str">
        <f>'Transaction Mapping'!L27</f>
        <v>GL not found</v>
      </c>
      <c r="H51" s="47">
        <f>IF('Transaction Mapping'!G27&gt;0,'Transaction Mapping'!G27,0)</f>
        <v>0</v>
      </c>
      <c r="I51" s="47">
        <f>IF('Transaction Mapping'!F27&gt;0,'Transaction Mapping'!F27,0)</f>
        <v>550000</v>
      </c>
      <c r="J51" s="44" t="str">
        <f>'Transaction Mapping'!P27</f>
        <v>Truck It In (Private) Limited</v>
      </c>
      <c r="K51" s="44" t="str">
        <f>'Transaction Mapping'!O27</f>
        <v>N/A</v>
      </c>
      <c r="L51" s="44" t="str">
        <f t="shared" si="3"/>
        <v>Posted</v>
      </c>
      <c r="M51" s="44" t="str">
        <f>'Transaction Mapping'!T27</f>
        <v>Transfer</v>
      </c>
    </row>
    <row r="52" ht="15.75" customHeight="1">
      <c r="A52" s="44" t="str">
        <f t="shared" si="27"/>
        <v>JE-025</v>
      </c>
      <c r="B52" s="46">
        <f>'Transaction Mapping'!C27</f>
        <v>45859</v>
      </c>
      <c r="C52" s="44" t="str">
        <f t="shared" si="2"/>
        <v>Bank Statement</v>
      </c>
      <c r="D52" s="44" t="str">
        <f>'Transaction Mapping'!E27</f>
        <v>HBL250721026</v>
      </c>
      <c r="E52" s="44" t="str">
        <f>'Transaction Mapping'!D27</f>
        <v>Transfer to Meezan Bank payroll account</v>
      </c>
      <c r="F52" s="44">
        <f>'Transaction Mapping'!M27</f>
        <v>1030</v>
      </c>
      <c r="G52" s="44" t="str">
        <f>'Transaction Mapping'!N27</f>
        <v>GL not found</v>
      </c>
      <c r="H52" s="47">
        <f>IF('Transaction Mapping'!F27&gt;0,'Transaction Mapping'!F27,0)</f>
        <v>550000</v>
      </c>
      <c r="I52" s="47">
        <f>IF('Transaction Mapping'!G27&gt;0,'Transaction Mapping'!G27,0)</f>
        <v>0</v>
      </c>
      <c r="J52" s="44" t="str">
        <f>'Transaction Mapping'!P27</f>
        <v>Truck It In (Private) Limited</v>
      </c>
      <c r="K52" s="44" t="str">
        <f>'Transaction Mapping'!O27</f>
        <v>N/A</v>
      </c>
      <c r="L52" s="44" t="str">
        <f t="shared" si="3"/>
        <v>Posted</v>
      </c>
      <c r="M52" s="44" t="str">
        <f>'Transaction Mapping'!T27</f>
        <v>Transfer</v>
      </c>
    </row>
    <row r="53" ht="15.75" customHeight="1">
      <c r="A53" s="44" t="str">
        <f t="shared" ref="A53:A54" si="28">"JE-026"</f>
        <v>JE-026</v>
      </c>
      <c r="B53" s="46">
        <f>'Transaction Mapping'!C28</f>
        <v>45860</v>
      </c>
      <c r="C53" s="44" t="str">
        <f t="shared" si="2"/>
        <v>Bank Statement</v>
      </c>
      <c r="D53" s="44" t="str">
        <f>'Transaction Mapping'!E28</f>
        <v>HBL250722027</v>
      </c>
      <c r="E53" s="44" t="str">
        <f>'Transaction Mapping'!D28</f>
        <v>Online transfer - Insurance premium - EFU General</v>
      </c>
      <c r="F53" s="44">
        <f>'Transaction Mapping'!K28</f>
        <v>1029</v>
      </c>
      <c r="G53" s="44" t="str">
        <f>'Transaction Mapping'!L28</f>
        <v>GL not found</v>
      </c>
      <c r="H53" s="47">
        <f>IF('Transaction Mapping'!G28&gt;0,'Transaction Mapping'!G28,0)</f>
        <v>0</v>
      </c>
      <c r="I53" s="47">
        <f>IF('Transaction Mapping'!F28&gt;0,'Transaction Mapping'!F28,0)</f>
        <v>180000</v>
      </c>
      <c r="J53" s="44" t="str">
        <f>'Transaction Mapping'!P28</f>
        <v>Truck It In (Private) Limited</v>
      </c>
      <c r="K53" s="44" t="str">
        <f>'Transaction Mapping'!O28</f>
        <v>N/A</v>
      </c>
      <c r="L53" s="44" t="str">
        <f t="shared" si="3"/>
        <v>Posted</v>
      </c>
      <c r="M53" s="44" t="str">
        <f>'Transaction Mapping'!T28</f>
        <v>Operating - Payments</v>
      </c>
    </row>
    <row r="54" ht="15.75" customHeight="1">
      <c r="A54" s="44" t="str">
        <f t="shared" si="28"/>
        <v>JE-026</v>
      </c>
      <c r="B54" s="46">
        <f>'Transaction Mapping'!C28</f>
        <v>45860</v>
      </c>
      <c r="C54" s="44" t="str">
        <f t="shared" si="2"/>
        <v>Bank Statement</v>
      </c>
      <c r="D54" s="44" t="str">
        <f>'Transaction Mapping'!E28</f>
        <v>HBL250722027</v>
      </c>
      <c r="E54" s="44" t="str">
        <f>'Transaction Mapping'!D28</f>
        <v>Online transfer - Insurance premium - EFU General</v>
      </c>
      <c r="F54" s="44">
        <f>'Transaction Mapping'!M28</f>
        <v>1026</v>
      </c>
      <c r="G54" s="44" t="str">
        <f>'Transaction Mapping'!N28</f>
        <v>GL not found</v>
      </c>
      <c r="H54" s="47">
        <f>IF('Transaction Mapping'!F28&gt;0,'Transaction Mapping'!F28,0)</f>
        <v>180000</v>
      </c>
      <c r="I54" s="47">
        <f>IF('Transaction Mapping'!G28&gt;0,'Transaction Mapping'!G28,0)</f>
        <v>0</v>
      </c>
      <c r="J54" s="44" t="str">
        <f>'Transaction Mapping'!P28</f>
        <v>Truck It In (Private) Limited</v>
      </c>
      <c r="K54" s="44" t="str">
        <f>'Transaction Mapping'!O28</f>
        <v>N/A</v>
      </c>
      <c r="L54" s="44" t="str">
        <f t="shared" si="3"/>
        <v>Posted</v>
      </c>
      <c r="M54" s="44" t="str">
        <f>'Transaction Mapping'!T28</f>
        <v>Operating - Payments</v>
      </c>
    </row>
    <row r="55" ht="15.75" customHeight="1">
      <c r="A55" s="44" t="str">
        <f t="shared" ref="A55:A56" si="29">"JE-027"</f>
        <v>JE-027</v>
      </c>
      <c r="B55" s="46">
        <f>'Transaction Mapping'!C29</f>
        <v>45861</v>
      </c>
      <c r="C55" s="44" t="str">
        <f t="shared" si="2"/>
        <v>Bank Statement</v>
      </c>
      <c r="D55" s="44" t="str">
        <f>'Transaction Mapping'!E29</f>
        <v>HBL250723028</v>
      </c>
      <c r="E55" s="44" t="str">
        <f>'Transaction Mapping'!D29</f>
        <v>IBFT CR - COD settlement - Retail merchant pool</v>
      </c>
      <c r="F55" s="44">
        <f>'Transaction Mapping'!K29</f>
        <v>1029</v>
      </c>
      <c r="G55" s="44" t="str">
        <f>'Transaction Mapping'!L29</f>
        <v>GL not found</v>
      </c>
      <c r="H55" s="47">
        <f>IF('Transaction Mapping'!G29&gt;0,'Transaction Mapping'!G29,0)</f>
        <v>389450</v>
      </c>
      <c r="I55" s="47">
        <f>IF('Transaction Mapping'!F29&gt;0,'Transaction Mapping'!F29,0)</f>
        <v>0</v>
      </c>
      <c r="J55" s="44" t="str">
        <f>'Transaction Mapping'!P29</f>
        <v>Truck It In (Private) Limited</v>
      </c>
      <c r="K55" s="44" t="str">
        <f>'Transaction Mapping'!O29</f>
        <v>N/A</v>
      </c>
      <c r="L55" s="44" t="str">
        <f t="shared" si="3"/>
        <v>Posted</v>
      </c>
      <c r="M55" s="44" t="str">
        <f>'Transaction Mapping'!T29</f>
        <v>Operating - Receipts</v>
      </c>
    </row>
    <row r="56" ht="15.75" customHeight="1">
      <c r="A56" s="44" t="str">
        <f t="shared" si="29"/>
        <v>JE-027</v>
      </c>
      <c r="B56" s="46">
        <f>'Transaction Mapping'!C29</f>
        <v>45861</v>
      </c>
      <c r="C56" s="44" t="str">
        <f t="shared" si="2"/>
        <v>Bank Statement</v>
      </c>
      <c r="D56" s="44" t="str">
        <f>'Transaction Mapping'!E29</f>
        <v>HBL250723028</v>
      </c>
      <c r="E56" s="44" t="str">
        <f>'Transaction Mapping'!D29</f>
        <v>IBFT CR - COD settlement - Retail merchant pool</v>
      </c>
      <c r="F56" s="44">
        <f>'Transaction Mapping'!M29</f>
        <v>1018</v>
      </c>
      <c r="G56" s="44" t="str">
        <f>'Transaction Mapping'!N29</f>
        <v>GL not found</v>
      </c>
      <c r="H56" s="47">
        <f>IF('Transaction Mapping'!F29&gt;0,'Transaction Mapping'!F29,0)</f>
        <v>0</v>
      </c>
      <c r="I56" s="47">
        <f>IF('Transaction Mapping'!G29&gt;0,'Transaction Mapping'!G29,0)</f>
        <v>389450</v>
      </c>
      <c r="J56" s="44" t="str">
        <f>'Transaction Mapping'!P29</f>
        <v>Truck It In (Private) Limited</v>
      </c>
      <c r="K56" s="44" t="str">
        <f>'Transaction Mapping'!O29</f>
        <v>N/A</v>
      </c>
      <c r="L56" s="44" t="str">
        <f t="shared" si="3"/>
        <v>Posted</v>
      </c>
      <c r="M56" s="44" t="str">
        <f>'Transaction Mapping'!T29</f>
        <v>Operating - Receipts</v>
      </c>
    </row>
    <row r="57" ht="15.75" customHeight="1">
      <c r="A57" s="44" t="str">
        <f t="shared" ref="A57:A58" si="30">"JE-028"</f>
        <v>JE-028</v>
      </c>
      <c r="B57" s="46">
        <f>'Transaction Mapping'!C30</f>
        <v>45862</v>
      </c>
      <c r="C57" s="44" t="str">
        <f t="shared" si="2"/>
        <v>Bank Statement</v>
      </c>
      <c r="D57" s="44" t="str">
        <f>'Transaction Mapping'!E30</f>
        <v>HBL250724029</v>
      </c>
      <c r="E57" s="44" t="str">
        <f>'Transaction Mapping'!D30</f>
        <v>Card 8821 - AWS cloud services</v>
      </c>
      <c r="F57" s="44">
        <f>'Transaction Mapping'!K30</f>
        <v>1029</v>
      </c>
      <c r="G57" s="44" t="str">
        <f>'Transaction Mapping'!L30</f>
        <v>GL not found</v>
      </c>
      <c r="H57" s="47">
        <f>IF('Transaction Mapping'!G30&gt;0,'Transaction Mapping'!G30,0)</f>
        <v>0</v>
      </c>
      <c r="I57" s="47">
        <f>IF('Transaction Mapping'!F30&gt;0,'Transaction Mapping'!F30,0)</f>
        <v>72600</v>
      </c>
      <c r="J57" s="44" t="str">
        <f>'Transaction Mapping'!P30</f>
        <v>Truck It In (Private) Limited</v>
      </c>
      <c r="K57" s="44" t="str">
        <f>'Transaction Mapping'!O30</f>
        <v>Reverse charge review</v>
      </c>
      <c r="L57" s="44" t="str">
        <f t="shared" si="3"/>
        <v>Posted</v>
      </c>
      <c r="M57" s="44" t="str">
        <f>'Transaction Mapping'!T30</f>
        <v>Operating - Payments</v>
      </c>
    </row>
    <row r="58" ht="15.75" customHeight="1">
      <c r="A58" s="44" t="str">
        <f t="shared" si="30"/>
        <v>JE-028</v>
      </c>
      <c r="B58" s="46">
        <f>'Transaction Mapping'!C30</f>
        <v>45862</v>
      </c>
      <c r="C58" s="44" t="str">
        <f t="shared" si="2"/>
        <v>Bank Statement</v>
      </c>
      <c r="D58" s="44" t="str">
        <f>'Transaction Mapping'!E30</f>
        <v>HBL250724029</v>
      </c>
      <c r="E58" s="44" t="str">
        <f>'Transaction Mapping'!D30</f>
        <v>Card 8821 - AWS cloud services</v>
      </c>
      <c r="F58" s="44">
        <f>'Transaction Mapping'!M30</f>
        <v>1068</v>
      </c>
      <c r="G58" s="44" t="str">
        <f>'Transaction Mapping'!N30</f>
        <v>GL not found</v>
      </c>
      <c r="H58" s="47">
        <f>IF('Transaction Mapping'!F30&gt;0,'Transaction Mapping'!F30,0)</f>
        <v>72600</v>
      </c>
      <c r="I58" s="47">
        <f>IF('Transaction Mapping'!G30&gt;0,'Transaction Mapping'!G30,0)</f>
        <v>0</v>
      </c>
      <c r="J58" s="44" t="str">
        <f>'Transaction Mapping'!P30</f>
        <v>Truck It In (Private) Limited</v>
      </c>
      <c r="K58" s="44" t="str">
        <f>'Transaction Mapping'!O30</f>
        <v>Reverse charge review</v>
      </c>
      <c r="L58" s="44" t="str">
        <f t="shared" si="3"/>
        <v>Posted</v>
      </c>
      <c r="M58" s="44" t="str">
        <f>'Transaction Mapping'!T30</f>
        <v>Operating - Payments</v>
      </c>
    </row>
    <row r="59" ht="15.75" customHeight="1">
      <c r="A59" s="44" t="str">
        <f t="shared" ref="A59:A60" si="31">"JE-029"</f>
        <v>JE-029</v>
      </c>
      <c r="B59" s="46">
        <f>'Transaction Mapping'!C31</f>
        <v>45863</v>
      </c>
      <c r="C59" s="44" t="str">
        <f t="shared" si="2"/>
        <v>Bank Statement</v>
      </c>
      <c r="D59" s="44" t="str">
        <f>'Transaction Mapping'!E31</f>
        <v>HBL250725030</v>
      </c>
      <c r="E59" s="44" t="str">
        <f>'Transaction Mapping'!D31</f>
        <v>Cheque return charges - customer cheque 77891</v>
      </c>
      <c r="F59" s="44">
        <f>'Transaction Mapping'!K31</f>
        <v>1029</v>
      </c>
      <c r="G59" s="44" t="str">
        <f>'Transaction Mapping'!L31</f>
        <v>GL not found</v>
      </c>
      <c r="H59" s="47">
        <f>IF('Transaction Mapping'!G31&gt;0,'Transaction Mapping'!G31,0)</f>
        <v>0</v>
      </c>
      <c r="I59" s="47">
        <f>IF('Transaction Mapping'!F31&gt;0,'Transaction Mapping'!F31,0)</f>
        <v>1500</v>
      </c>
      <c r="J59" s="44" t="str">
        <f>'Transaction Mapping'!P31</f>
        <v>Truck It In (Private) Limited</v>
      </c>
      <c r="K59" s="44" t="str">
        <f>'Transaction Mapping'!O31</f>
        <v>N/A</v>
      </c>
      <c r="L59" s="44" t="str">
        <f t="shared" si="3"/>
        <v>Posted</v>
      </c>
      <c r="M59" s="44" t="str">
        <f>'Transaction Mapping'!T31</f>
        <v>Operating - Payments</v>
      </c>
    </row>
    <row r="60" ht="15.75" customHeight="1">
      <c r="A60" s="44" t="str">
        <f t="shared" si="31"/>
        <v>JE-029</v>
      </c>
      <c r="B60" s="46">
        <f>'Transaction Mapping'!C31</f>
        <v>45863</v>
      </c>
      <c r="C60" s="44" t="str">
        <f t="shared" si="2"/>
        <v>Bank Statement</v>
      </c>
      <c r="D60" s="44" t="str">
        <f>'Transaction Mapping'!E31</f>
        <v>HBL250725030</v>
      </c>
      <c r="E60" s="44" t="str">
        <f>'Transaction Mapping'!D31</f>
        <v>Cheque return charges - customer cheque 77891</v>
      </c>
      <c r="F60" s="44">
        <f>'Transaction Mapping'!M31</f>
        <v>1057</v>
      </c>
      <c r="G60" s="44" t="str">
        <f>'Transaction Mapping'!N31</f>
        <v>GL not found</v>
      </c>
      <c r="H60" s="47">
        <f>IF('Transaction Mapping'!F31&gt;0,'Transaction Mapping'!F31,0)</f>
        <v>1500</v>
      </c>
      <c r="I60" s="47">
        <f>IF('Transaction Mapping'!G31&gt;0,'Transaction Mapping'!G31,0)</f>
        <v>0</v>
      </c>
      <c r="J60" s="44" t="str">
        <f>'Transaction Mapping'!P31</f>
        <v>Truck It In (Private) Limited</v>
      </c>
      <c r="K60" s="44" t="str">
        <f>'Transaction Mapping'!O31</f>
        <v>N/A</v>
      </c>
      <c r="L60" s="44" t="str">
        <f t="shared" si="3"/>
        <v>Posted</v>
      </c>
      <c r="M60" s="44" t="str">
        <f>'Transaction Mapping'!T31</f>
        <v>Operating - Payments</v>
      </c>
    </row>
    <row r="61" ht="15.75" customHeight="1">
      <c r="A61" s="44" t="str">
        <f t="shared" ref="A61:A62" si="32">"JE-030"</f>
        <v>JE-030</v>
      </c>
      <c r="B61" s="46">
        <f>'Transaction Mapping'!C32</f>
        <v>45866</v>
      </c>
      <c r="C61" s="44" t="str">
        <f t="shared" si="2"/>
        <v>Bank Statement</v>
      </c>
      <c r="D61" s="44" t="str">
        <f>'Transaction Mapping'!E32</f>
        <v>HBL250728031</v>
      </c>
      <c r="E61" s="44" t="str">
        <f>'Transaction Mapping'!D32</f>
        <v>IBFT CR - Customer cheque 77891 redeposited</v>
      </c>
      <c r="F61" s="44">
        <f>'Transaction Mapping'!K32</f>
        <v>1029</v>
      </c>
      <c r="G61" s="44" t="str">
        <f>'Transaction Mapping'!L32</f>
        <v>GL not found</v>
      </c>
      <c r="H61" s="47">
        <f>IF('Transaction Mapping'!G32&gt;0,'Transaction Mapping'!G32,0)</f>
        <v>265000</v>
      </c>
      <c r="I61" s="47">
        <f>IF('Transaction Mapping'!F32&gt;0,'Transaction Mapping'!F32,0)</f>
        <v>0</v>
      </c>
      <c r="J61" s="44" t="str">
        <f>'Transaction Mapping'!P32</f>
        <v>Truck It In (Private) Limited</v>
      </c>
      <c r="K61" s="44" t="str">
        <f>'Transaction Mapping'!O32</f>
        <v>N/A</v>
      </c>
      <c r="L61" s="44" t="str">
        <f t="shared" si="3"/>
        <v>Posted</v>
      </c>
      <c r="M61" s="44" t="str">
        <f>'Transaction Mapping'!T32</f>
        <v>Operating - Receipts</v>
      </c>
    </row>
    <row r="62" ht="15.75" customHeight="1">
      <c r="A62" s="44" t="str">
        <f t="shared" si="32"/>
        <v>JE-030</v>
      </c>
      <c r="B62" s="46">
        <f>'Transaction Mapping'!C32</f>
        <v>45866</v>
      </c>
      <c r="C62" s="44" t="str">
        <f t="shared" si="2"/>
        <v>Bank Statement</v>
      </c>
      <c r="D62" s="44" t="str">
        <f>'Transaction Mapping'!E32</f>
        <v>HBL250728031</v>
      </c>
      <c r="E62" s="44" t="str">
        <f>'Transaction Mapping'!D32</f>
        <v>IBFT CR - Customer cheque 77891 redeposited</v>
      </c>
      <c r="F62" s="44">
        <f>'Transaction Mapping'!M32</f>
        <v>1018</v>
      </c>
      <c r="G62" s="44" t="str">
        <f>'Transaction Mapping'!N32</f>
        <v>GL not found</v>
      </c>
      <c r="H62" s="47">
        <f>IF('Transaction Mapping'!F32&gt;0,'Transaction Mapping'!F32,0)</f>
        <v>0</v>
      </c>
      <c r="I62" s="47">
        <f>IF('Transaction Mapping'!G32&gt;0,'Transaction Mapping'!G32,0)</f>
        <v>265000</v>
      </c>
      <c r="J62" s="44" t="str">
        <f>'Transaction Mapping'!P32</f>
        <v>Truck It In (Private) Limited</v>
      </c>
      <c r="K62" s="44" t="str">
        <f>'Transaction Mapping'!O32</f>
        <v>N/A</v>
      </c>
      <c r="L62" s="44" t="str">
        <f t="shared" si="3"/>
        <v>Posted</v>
      </c>
      <c r="M62" s="44" t="str">
        <f>'Transaction Mapping'!T32</f>
        <v>Operating - Receipts</v>
      </c>
    </row>
    <row r="63" ht="15.75" customHeight="1">
      <c r="A63" s="44" t="str">
        <f t="shared" ref="A63:A64" si="33">"JE-031"</f>
        <v>JE-031</v>
      </c>
      <c r="B63" s="46">
        <f>'Transaction Mapping'!C33</f>
        <v>45867</v>
      </c>
      <c r="C63" s="44" t="str">
        <f t="shared" si="2"/>
        <v>Bank Statement</v>
      </c>
      <c r="D63" s="44" t="str">
        <f>'Transaction Mapping'!E33</f>
        <v>HBL250729032</v>
      </c>
      <c r="E63" s="44" t="str">
        <f>'Transaction Mapping'!D33</f>
        <v>Online transfer - Legal and professional fee</v>
      </c>
      <c r="F63" s="44">
        <f>'Transaction Mapping'!K33</f>
        <v>1029</v>
      </c>
      <c r="G63" s="44" t="str">
        <f>'Transaction Mapping'!L33</f>
        <v>GL not found</v>
      </c>
      <c r="H63" s="47">
        <f>IF('Transaction Mapping'!G33&gt;0,'Transaction Mapping'!G33,0)</f>
        <v>0</v>
      </c>
      <c r="I63" s="47">
        <f>IF('Transaction Mapping'!F33&gt;0,'Transaction Mapping'!F33,0)</f>
        <v>125000</v>
      </c>
      <c r="J63" s="44" t="str">
        <f>'Transaction Mapping'!P33</f>
        <v>Truck It In (Private) Limited</v>
      </c>
      <c r="K63" s="44" t="str">
        <f>'Transaction Mapping'!O33</f>
        <v>WHT review</v>
      </c>
      <c r="L63" s="44" t="str">
        <f t="shared" si="3"/>
        <v>Posted</v>
      </c>
      <c r="M63" s="44" t="str">
        <f>'Transaction Mapping'!T33</f>
        <v>Operating - Payments</v>
      </c>
    </row>
    <row r="64" ht="15.75" customHeight="1">
      <c r="A64" s="44" t="str">
        <f t="shared" si="33"/>
        <v>JE-031</v>
      </c>
      <c r="B64" s="46">
        <f>'Transaction Mapping'!C33</f>
        <v>45867</v>
      </c>
      <c r="C64" s="44" t="str">
        <f t="shared" si="2"/>
        <v>Bank Statement</v>
      </c>
      <c r="D64" s="44" t="str">
        <f>'Transaction Mapping'!E33</f>
        <v>HBL250729032</v>
      </c>
      <c r="E64" s="44" t="str">
        <f>'Transaction Mapping'!D33</f>
        <v>Online transfer - Legal and professional fee</v>
      </c>
      <c r="F64" s="44">
        <f>'Transaction Mapping'!M33</f>
        <v>1060</v>
      </c>
      <c r="G64" s="44" t="str">
        <f>'Transaction Mapping'!N33</f>
        <v>GL not found</v>
      </c>
      <c r="H64" s="47">
        <f>IF('Transaction Mapping'!F33&gt;0,'Transaction Mapping'!F33,0)</f>
        <v>125000</v>
      </c>
      <c r="I64" s="47">
        <f>IF('Transaction Mapping'!G33&gt;0,'Transaction Mapping'!G33,0)</f>
        <v>0</v>
      </c>
      <c r="J64" s="44" t="str">
        <f>'Transaction Mapping'!P33</f>
        <v>Truck It In (Private) Limited</v>
      </c>
      <c r="K64" s="44" t="str">
        <f>'Transaction Mapping'!O33</f>
        <v>WHT review</v>
      </c>
      <c r="L64" s="44" t="str">
        <f t="shared" si="3"/>
        <v>Posted</v>
      </c>
      <c r="M64" s="44" t="str">
        <f>'Transaction Mapping'!T33</f>
        <v>Operating - Payments</v>
      </c>
    </row>
    <row r="65" ht="15.75" customHeight="1">
      <c r="A65" s="44" t="str">
        <f t="shared" ref="A65:A66" si="34">"JE-032"</f>
        <v>JE-032</v>
      </c>
      <c r="B65" s="46">
        <f>'Transaction Mapping'!C34</f>
        <v>45868</v>
      </c>
      <c r="C65" s="44" t="str">
        <f t="shared" si="2"/>
        <v>Bank Statement</v>
      </c>
      <c r="D65" s="44" t="str">
        <f>'Transaction Mapping'!E34</f>
        <v>HBL250730033</v>
      </c>
      <c r="E65" s="44" t="str">
        <f>'Transaction Mapping'!D34</f>
        <v>Profit credited on current-plus account</v>
      </c>
      <c r="F65" s="44">
        <f>'Transaction Mapping'!K34</f>
        <v>1029</v>
      </c>
      <c r="G65" s="44" t="str">
        <f>'Transaction Mapping'!L34</f>
        <v>GL not found</v>
      </c>
      <c r="H65" s="47">
        <f>IF('Transaction Mapping'!G34&gt;0,'Transaction Mapping'!G34,0)</f>
        <v>18450</v>
      </c>
      <c r="I65" s="47">
        <f>IF('Transaction Mapping'!F34&gt;0,'Transaction Mapping'!F34,0)</f>
        <v>0</v>
      </c>
      <c r="J65" s="44" t="str">
        <f>'Transaction Mapping'!P34</f>
        <v>Truck It In (Private) Limited</v>
      </c>
      <c r="K65" s="44" t="str">
        <f>'Transaction Mapping'!O34</f>
        <v>Advance tax review</v>
      </c>
      <c r="L65" s="44" t="str">
        <f t="shared" si="3"/>
        <v>Posted</v>
      </c>
      <c r="M65" s="44" t="str">
        <f>'Transaction Mapping'!T34</f>
        <v>Operating - Receipts</v>
      </c>
    </row>
    <row r="66" ht="15.75" customHeight="1">
      <c r="A66" s="44" t="str">
        <f t="shared" si="34"/>
        <v>JE-032</v>
      </c>
      <c r="B66" s="46">
        <f>'Transaction Mapping'!C34</f>
        <v>45868</v>
      </c>
      <c r="C66" s="44" t="str">
        <f t="shared" si="2"/>
        <v>Bank Statement</v>
      </c>
      <c r="D66" s="44" t="str">
        <f>'Transaction Mapping'!E34</f>
        <v>HBL250730033</v>
      </c>
      <c r="E66" s="44" t="str">
        <f>'Transaction Mapping'!D34</f>
        <v>Profit credited on current-plus account</v>
      </c>
      <c r="F66" s="44">
        <f>'Transaction Mapping'!M34</f>
        <v>1066</v>
      </c>
      <c r="G66" s="44" t="str">
        <f>'Transaction Mapping'!N34</f>
        <v>GL not found</v>
      </c>
      <c r="H66" s="47">
        <f>IF('Transaction Mapping'!F34&gt;0,'Transaction Mapping'!F34,0)</f>
        <v>0</v>
      </c>
      <c r="I66" s="47">
        <f>IF('Transaction Mapping'!G34&gt;0,'Transaction Mapping'!G34,0)</f>
        <v>18450</v>
      </c>
      <c r="J66" s="44" t="str">
        <f>'Transaction Mapping'!P34</f>
        <v>Truck It In (Private) Limited</v>
      </c>
      <c r="K66" s="44" t="str">
        <f>'Transaction Mapping'!O34</f>
        <v>Advance tax review</v>
      </c>
      <c r="L66" s="44" t="str">
        <f t="shared" si="3"/>
        <v>Posted</v>
      </c>
      <c r="M66" s="44" t="str">
        <f>'Transaction Mapping'!T34</f>
        <v>Operating - Receipts</v>
      </c>
    </row>
    <row r="67" ht="15.75" customHeight="1">
      <c r="A67" s="44" t="str">
        <f t="shared" ref="A67:A68" si="35">"JE-033"</f>
        <v>JE-033</v>
      </c>
      <c r="B67" s="46">
        <f>'Transaction Mapping'!C35</f>
        <v>45869</v>
      </c>
      <c r="C67" s="44" t="str">
        <f t="shared" si="2"/>
        <v>Bank Statement</v>
      </c>
      <c r="D67" s="44" t="str">
        <f>'Transaction Mapping'!E35</f>
        <v>HBL250731034</v>
      </c>
      <c r="E67" s="44" t="str">
        <f>'Transaction Mapping'!D35</f>
        <v>Zakat deduction on profit account</v>
      </c>
      <c r="F67" s="44">
        <f>'Transaction Mapping'!K35</f>
        <v>1029</v>
      </c>
      <c r="G67" s="44" t="str">
        <f>'Transaction Mapping'!L35</f>
        <v>GL not found</v>
      </c>
      <c r="H67" s="47">
        <f>IF('Transaction Mapping'!G35&gt;0,'Transaction Mapping'!G35,0)</f>
        <v>0</v>
      </c>
      <c r="I67" s="47">
        <f>IF('Transaction Mapping'!F35&gt;0,'Transaction Mapping'!F35,0)</f>
        <v>461</v>
      </c>
      <c r="J67" s="44" t="str">
        <f>'Transaction Mapping'!P35</f>
        <v>Truck It In (Private) Limited</v>
      </c>
      <c r="K67" s="44" t="str">
        <f>'Transaction Mapping'!O35</f>
        <v>N/A</v>
      </c>
      <c r="L67" s="44" t="str">
        <f t="shared" si="3"/>
        <v>Posted</v>
      </c>
      <c r="M67" s="44" t="str">
        <f>'Transaction Mapping'!T35</f>
        <v>Operating - Payments</v>
      </c>
    </row>
    <row r="68" ht="15.75" customHeight="1">
      <c r="A68" s="44" t="str">
        <f t="shared" si="35"/>
        <v>JE-033</v>
      </c>
      <c r="B68" s="46">
        <f>'Transaction Mapping'!C35</f>
        <v>45869</v>
      </c>
      <c r="C68" s="44" t="str">
        <f t="shared" si="2"/>
        <v>Bank Statement</v>
      </c>
      <c r="D68" s="44" t="str">
        <f>'Transaction Mapping'!E35</f>
        <v>HBL250731034</v>
      </c>
      <c r="E68" s="44" t="str">
        <f>'Transaction Mapping'!D35</f>
        <v>Zakat deduction on profit account</v>
      </c>
      <c r="F68" s="44">
        <f>'Transaction Mapping'!M35</f>
        <v>1068</v>
      </c>
      <c r="G68" s="44" t="str">
        <f>'Transaction Mapping'!N35</f>
        <v>GL not found</v>
      </c>
      <c r="H68" s="47">
        <f>IF('Transaction Mapping'!F35&gt;0,'Transaction Mapping'!F35,0)</f>
        <v>461</v>
      </c>
      <c r="I68" s="47">
        <f>IF('Transaction Mapping'!G35&gt;0,'Transaction Mapping'!G35,0)</f>
        <v>0</v>
      </c>
      <c r="J68" s="44" t="str">
        <f>'Transaction Mapping'!P35</f>
        <v>Truck It In (Private) Limited</v>
      </c>
      <c r="K68" s="44" t="str">
        <f>'Transaction Mapping'!O35</f>
        <v>N/A</v>
      </c>
      <c r="L68" s="44" t="str">
        <f t="shared" si="3"/>
        <v>Posted</v>
      </c>
      <c r="M68" s="44" t="str">
        <f>'Transaction Mapping'!T35</f>
        <v>Operating - Payments</v>
      </c>
    </row>
    <row r="69" ht="15.75" customHeight="1">
      <c r="A69" s="44" t="str">
        <f t="shared" ref="A69:A70" si="36">"JE-034"</f>
        <v>JE-034</v>
      </c>
      <c r="B69" s="46">
        <f>'Transaction Mapping'!C36</f>
        <v>45869</v>
      </c>
      <c r="C69" s="44" t="str">
        <f t="shared" si="2"/>
        <v>Bank Statement</v>
      </c>
      <c r="D69" s="44" t="str">
        <f>'Transaction Mapping'!E36</f>
        <v>HBL250731035</v>
      </c>
      <c r="E69" s="44" t="str">
        <f>'Transaction Mapping'!D36</f>
        <v>Advance tax on bank profit</v>
      </c>
      <c r="F69" s="44">
        <f>'Transaction Mapping'!K36</f>
        <v>1029</v>
      </c>
      <c r="G69" s="44" t="str">
        <f>'Transaction Mapping'!L36</f>
        <v>GL not found</v>
      </c>
      <c r="H69" s="47">
        <f>IF('Transaction Mapping'!G36&gt;0,'Transaction Mapping'!G36,0)</f>
        <v>0</v>
      </c>
      <c r="I69" s="47">
        <f>IF('Transaction Mapping'!F36&gt;0,'Transaction Mapping'!F36,0)</f>
        <v>2768</v>
      </c>
      <c r="J69" s="44" t="str">
        <f>'Transaction Mapping'!P36</f>
        <v>Truck It In (Private) Limited</v>
      </c>
      <c r="K69" s="44" t="str">
        <f>'Transaction Mapping'!O36</f>
        <v>Advance income tax</v>
      </c>
      <c r="L69" s="44" t="str">
        <f t="shared" si="3"/>
        <v>Posted</v>
      </c>
      <c r="M69" s="44" t="str">
        <f>'Transaction Mapping'!T36</f>
        <v>Operating - Payments</v>
      </c>
    </row>
    <row r="70" ht="15.75" customHeight="1">
      <c r="A70" s="44" t="str">
        <f t="shared" si="36"/>
        <v>JE-034</v>
      </c>
      <c r="B70" s="46">
        <f>'Transaction Mapping'!C36</f>
        <v>45869</v>
      </c>
      <c r="C70" s="44" t="str">
        <f t="shared" si="2"/>
        <v>Bank Statement</v>
      </c>
      <c r="D70" s="44" t="str">
        <f>'Transaction Mapping'!E36</f>
        <v>HBL250731035</v>
      </c>
      <c r="E70" s="44" t="str">
        <f>'Transaction Mapping'!D36</f>
        <v>Advance tax on bank profit</v>
      </c>
      <c r="F70" s="44">
        <f>'Transaction Mapping'!M36</f>
        <v>1045</v>
      </c>
      <c r="G70" s="44" t="str">
        <f>'Transaction Mapping'!N36</f>
        <v>GL not found</v>
      </c>
      <c r="H70" s="47">
        <f>IF('Transaction Mapping'!F36&gt;0,'Transaction Mapping'!F36,0)</f>
        <v>2768</v>
      </c>
      <c r="I70" s="47">
        <f>IF('Transaction Mapping'!G36&gt;0,'Transaction Mapping'!G36,0)</f>
        <v>0</v>
      </c>
      <c r="J70" s="44" t="str">
        <f>'Transaction Mapping'!P36</f>
        <v>Truck It In (Private) Limited</v>
      </c>
      <c r="K70" s="44" t="str">
        <f>'Transaction Mapping'!O36</f>
        <v>Advance income tax</v>
      </c>
      <c r="L70" s="44" t="str">
        <f t="shared" si="3"/>
        <v>Posted</v>
      </c>
      <c r="M70" s="44" t="str">
        <f>'Transaction Mapping'!T36</f>
        <v>Operating - Payments</v>
      </c>
    </row>
    <row r="71" ht="15.75" customHeight="1">
      <c r="A71" s="44" t="str">
        <f t="shared" ref="A71:A72" si="37">"JE-035"</f>
        <v>JE-035</v>
      </c>
      <c r="B71" s="46">
        <f>'Transaction Mapping'!C37</f>
        <v>45839</v>
      </c>
      <c r="C71" s="44" t="str">
        <f t="shared" si="2"/>
        <v>Bank Statement</v>
      </c>
      <c r="D71" s="44" t="str">
        <f>'Transaction Mapping'!E37</f>
        <v>MBL250701001</v>
      </c>
      <c r="E71" s="44" t="str">
        <f>'Transaction Mapping'!D37</f>
        <v>Opening-month cash deposit - payroll adjustments</v>
      </c>
      <c r="F71" s="44">
        <f>'Transaction Mapping'!K37</f>
        <v>1030</v>
      </c>
      <c r="G71" s="44" t="str">
        <f>'Transaction Mapping'!L37</f>
        <v>GL not found</v>
      </c>
      <c r="H71" s="47">
        <f>IF('Transaction Mapping'!G37&gt;0,'Transaction Mapping'!G37,0)</f>
        <v>25000</v>
      </c>
      <c r="I71" s="47">
        <f>IF('Transaction Mapping'!F37&gt;0,'Transaction Mapping'!F37,0)</f>
        <v>0</v>
      </c>
      <c r="J71" s="44" t="str">
        <f>'Transaction Mapping'!P37</f>
        <v>Truck It In (Private) Limited</v>
      </c>
      <c r="K71" s="44" t="str">
        <f>'Transaction Mapping'!O37</f>
        <v>N/A</v>
      </c>
      <c r="L71" s="44" t="str">
        <f t="shared" si="3"/>
        <v>Posted</v>
      </c>
      <c r="M71" s="44" t="str">
        <f>'Transaction Mapping'!T37</f>
        <v>Operating - Receipts</v>
      </c>
    </row>
    <row r="72" ht="15.75" customHeight="1">
      <c r="A72" s="44" t="str">
        <f t="shared" si="37"/>
        <v>JE-035</v>
      </c>
      <c r="B72" s="46">
        <f>'Transaction Mapping'!C37</f>
        <v>45839</v>
      </c>
      <c r="C72" s="44" t="str">
        <f t="shared" si="2"/>
        <v>Bank Statement</v>
      </c>
      <c r="D72" s="44" t="str">
        <f>'Transaction Mapping'!E37</f>
        <v>MBL250701001</v>
      </c>
      <c r="E72" s="44" t="str">
        <f>'Transaction Mapping'!D37</f>
        <v>Opening-month cash deposit - payroll adjustments</v>
      </c>
      <c r="F72" s="44">
        <f>'Transaction Mapping'!M37</f>
        <v>1034</v>
      </c>
      <c r="G72" s="44" t="str">
        <f>'Transaction Mapping'!N37</f>
        <v>GL not found</v>
      </c>
      <c r="H72" s="47">
        <f>IF('Transaction Mapping'!F37&gt;0,'Transaction Mapping'!F37,0)</f>
        <v>0</v>
      </c>
      <c r="I72" s="47">
        <f>IF('Transaction Mapping'!G37&gt;0,'Transaction Mapping'!G37,0)</f>
        <v>25000</v>
      </c>
      <c r="J72" s="44" t="str">
        <f>'Transaction Mapping'!P37</f>
        <v>Truck It In (Private) Limited</v>
      </c>
      <c r="K72" s="44" t="str">
        <f>'Transaction Mapping'!O37</f>
        <v>N/A</v>
      </c>
      <c r="L72" s="44" t="str">
        <f t="shared" si="3"/>
        <v>Posted</v>
      </c>
      <c r="M72" s="44" t="str">
        <f>'Transaction Mapping'!T37</f>
        <v>Operating - Receipts</v>
      </c>
    </row>
    <row r="73" ht="15.75" customHeight="1">
      <c r="A73" s="44" t="str">
        <f t="shared" ref="A73:A74" si="38">"JE-036"</f>
        <v>JE-036</v>
      </c>
      <c r="B73" s="46">
        <f>'Transaction Mapping'!C38</f>
        <v>45840</v>
      </c>
      <c r="C73" s="44" t="str">
        <f t="shared" si="2"/>
        <v>Bank Statement</v>
      </c>
      <c r="D73" s="44" t="str">
        <f>'Transaction Mapping'!E38</f>
        <v>MBL250702002</v>
      </c>
      <c r="E73" s="44" t="str">
        <f>'Transaction Mapping'!D38</f>
        <v>IBFT - Employee reimbursement - A. Khan</v>
      </c>
      <c r="F73" s="44">
        <f>'Transaction Mapping'!K38</f>
        <v>1030</v>
      </c>
      <c r="G73" s="44" t="str">
        <f>'Transaction Mapping'!L38</f>
        <v>GL not found</v>
      </c>
      <c r="H73" s="47">
        <f>IF('Transaction Mapping'!G38&gt;0,'Transaction Mapping'!G38,0)</f>
        <v>0</v>
      </c>
      <c r="I73" s="47">
        <f>IF('Transaction Mapping'!F38&gt;0,'Transaction Mapping'!F38,0)</f>
        <v>18500</v>
      </c>
      <c r="J73" s="44" t="str">
        <f>'Transaction Mapping'!P38</f>
        <v>Truck It In (Private) Limited</v>
      </c>
      <c r="K73" s="44" t="str">
        <f>'Transaction Mapping'!O38</f>
        <v>N/A</v>
      </c>
      <c r="L73" s="44" t="str">
        <f t="shared" si="3"/>
        <v>Posted</v>
      </c>
      <c r="M73" s="44" t="str">
        <f>'Transaction Mapping'!T38</f>
        <v>Operating - Payments</v>
      </c>
    </row>
    <row r="74" ht="15.75" customHeight="1">
      <c r="A74" s="44" t="str">
        <f t="shared" si="38"/>
        <v>JE-036</v>
      </c>
      <c r="B74" s="46">
        <f>'Transaction Mapping'!C38</f>
        <v>45840</v>
      </c>
      <c r="C74" s="44" t="str">
        <f t="shared" si="2"/>
        <v>Bank Statement</v>
      </c>
      <c r="D74" s="44" t="str">
        <f>'Transaction Mapping'!E38</f>
        <v>MBL250702002</v>
      </c>
      <c r="E74" s="44" t="str">
        <f>'Transaction Mapping'!D38</f>
        <v>IBFT - Employee reimbursement - A. Khan</v>
      </c>
      <c r="F74" s="44">
        <f>'Transaction Mapping'!M38</f>
        <v>1068</v>
      </c>
      <c r="G74" s="44" t="str">
        <f>'Transaction Mapping'!N38</f>
        <v>GL not found</v>
      </c>
      <c r="H74" s="47">
        <f>IF('Transaction Mapping'!F38&gt;0,'Transaction Mapping'!F38,0)</f>
        <v>18500</v>
      </c>
      <c r="I74" s="47">
        <f>IF('Transaction Mapping'!G38&gt;0,'Transaction Mapping'!G38,0)</f>
        <v>0</v>
      </c>
      <c r="J74" s="44" t="str">
        <f>'Transaction Mapping'!P38</f>
        <v>Truck It In (Private) Limited</v>
      </c>
      <c r="K74" s="44" t="str">
        <f>'Transaction Mapping'!O38</f>
        <v>N/A</v>
      </c>
      <c r="L74" s="44" t="str">
        <f t="shared" si="3"/>
        <v>Posted</v>
      </c>
      <c r="M74" s="44" t="str">
        <f>'Transaction Mapping'!T38</f>
        <v>Operating - Payments</v>
      </c>
    </row>
    <row r="75" ht="15.75" customHeight="1">
      <c r="A75" s="44" t="str">
        <f t="shared" ref="A75:A76" si="39">"JE-037"</f>
        <v>JE-037</v>
      </c>
      <c r="B75" s="46">
        <f>'Transaction Mapping'!C39</f>
        <v>45841</v>
      </c>
      <c r="C75" s="44" t="str">
        <f t="shared" si="2"/>
        <v>Bank Statement</v>
      </c>
      <c r="D75" s="44" t="str">
        <f>'Transaction Mapping'!E39</f>
        <v>MBL250703003</v>
      </c>
      <c r="E75" s="44" t="str">
        <f>'Transaction Mapping'!D39</f>
        <v>IBFT - Rider incentive batch 01</v>
      </c>
      <c r="F75" s="44">
        <f>'Transaction Mapping'!K39</f>
        <v>1030</v>
      </c>
      <c r="G75" s="44" t="str">
        <f>'Transaction Mapping'!L39</f>
        <v>GL not found</v>
      </c>
      <c r="H75" s="47">
        <f>IF('Transaction Mapping'!G39&gt;0,'Transaction Mapping'!G39,0)</f>
        <v>0</v>
      </c>
      <c r="I75" s="47">
        <f>IF('Transaction Mapping'!F39&gt;0,'Transaction Mapping'!F39,0)</f>
        <v>96500</v>
      </c>
      <c r="J75" s="44" t="str">
        <f>'Transaction Mapping'!P39</f>
        <v>Truck It In (Private) Limited</v>
      </c>
      <c r="K75" s="44" t="str">
        <f>'Transaction Mapping'!O39</f>
        <v>Payroll</v>
      </c>
      <c r="L75" s="44" t="str">
        <f t="shared" si="3"/>
        <v>Posted</v>
      </c>
      <c r="M75" s="44" t="str">
        <f>'Transaction Mapping'!T39</f>
        <v>Operating - Payments</v>
      </c>
    </row>
    <row r="76" ht="15.75" customHeight="1">
      <c r="A76" s="44" t="str">
        <f t="shared" si="39"/>
        <v>JE-037</v>
      </c>
      <c r="B76" s="46">
        <f>'Transaction Mapping'!C39</f>
        <v>45841</v>
      </c>
      <c r="C76" s="44" t="str">
        <f t="shared" si="2"/>
        <v>Bank Statement</v>
      </c>
      <c r="D76" s="44" t="str">
        <f>'Transaction Mapping'!E39</f>
        <v>MBL250703003</v>
      </c>
      <c r="E76" s="44" t="str">
        <f>'Transaction Mapping'!D39</f>
        <v>IBFT - Rider incentive batch 01</v>
      </c>
      <c r="F76" s="44">
        <f>'Transaction Mapping'!M39</f>
        <v>1056</v>
      </c>
      <c r="G76" s="44" t="str">
        <f>'Transaction Mapping'!N39</f>
        <v>GL not found</v>
      </c>
      <c r="H76" s="47">
        <f>IF('Transaction Mapping'!F39&gt;0,'Transaction Mapping'!F39,0)</f>
        <v>96500</v>
      </c>
      <c r="I76" s="47">
        <f>IF('Transaction Mapping'!G39&gt;0,'Transaction Mapping'!G39,0)</f>
        <v>0</v>
      </c>
      <c r="J76" s="44" t="str">
        <f>'Transaction Mapping'!P39</f>
        <v>Truck It In (Private) Limited</v>
      </c>
      <c r="K76" s="44" t="str">
        <f>'Transaction Mapping'!O39</f>
        <v>Payroll</v>
      </c>
      <c r="L76" s="44" t="str">
        <f t="shared" si="3"/>
        <v>Posted</v>
      </c>
      <c r="M76" s="44" t="str">
        <f>'Transaction Mapping'!T39</f>
        <v>Operating - Payments</v>
      </c>
    </row>
    <row r="77" ht="15.75" customHeight="1">
      <c r="A77" s="44" t="str">
        <f t="shared" ref="A77:A78" si="40">"JE-038"</f>
        <v>JE-038</v>
      </c>
      <c r="B77" s="46">
        <f>'Transaction Mapping'!C40</f>
        <v>45842</v>
      </c>
      <c r="C77" s="44" t="str">
        <f t="shared" si="2"/>
        <v>Bank Statement</v>
      </c>
      <c r="D77" s="44" t="str">
        <f>'Transaction Mapping'!E40</f>
        <v>MBL250704004</v>
      </c>
      <c r="E77" s="44" t="str">
        <f>'Transaction Mapping'!D40</f>
        <v>Online payment - EOBI contribution June</v>
      </c>
      <c r="F77" s="44">
        <f>'Transaction Mapping'!K40</f>
        <v>1030</v>
      </c>
      <c r="G77" s="44" t="str">
        <f>'Transaction Mapping'!L40</f>
        <v>GL not found</v>
      </c>
      <c r="H77" s="47">
        <f>IF('Transaction Mapping'!G40&gt;0,'Transaction Mapping'!G40,0)</f>
        <v>0</v>
      </c>
      <c r="I77" s="47">
        <f>IF('Transaction Mapping'!F40&gt;0,'Transaction Mapping'!F40,0)</f>
        <v>68400</v>
      </c>
      <c r="J77" s="44" t="str">
        <f>'Transaction Mapping'!P40</f>
        <v>Truck It In (Private) Limited</v>
      </c>
      <c r="K77" s="44" t="str">
        <f>'Transaction Mapping'!O40</f>
        <v>Payroll statutory</v>
      </c>
      <c r="L77" s="44" t="str">
        <f t="shared" si="3"/>
        <v>Posted</v>
      </c>
      <c r="M77" s="44" t="str">
        <f>'Transaction Mapping'!T40</f>
        <v>Operating - Payments</v>
      </c>
    </row>
    <row r="78" ht="15.75" customHeight="1">
      <c r="A78" s="44" t="str">
        <f t="shared" si="40"/>
        <v>JE-038</v>
      </c>
      <c r="B78" s="46">
        <f>'Transaction Mapping'!C40</f>
        <v>45842</v>
      </c>
      <c r="C78" s="44" t="str">
        <f t="shared" si="2"/>
        <v>Bank Statement</v>
      </c>
      <c r="D78" s="44" t="str">
        <f>'Transaction Mapping'!E40</f>
        <v>MBL250704004</v>
      </c>
      <c r="E78" s="44" t="str">
        <f>'Transaction Mapping'!D40</f>
        <v>Online payment - EOBI contribution June</v>
      </c>
      <c r="F78" s="44">
        <f>'Transaction Mapping'!M40</f>
        <v>1034</v>
      </c>
      <c r="G78" s="44" t="str">
        <f>'Transaction Mapping'!N40</f>
        <v>GL not found</v>
      </c>
      <c r="H78" s="47">
        <f>IF('Transaction Mapping'!F40&gt;0,'Transaction Mapping'!F40,0)</f>
        <v>68400</v>
      </c>
      <c r="I78" s="47">
        <f>IF('Transaction Mapping'!G40&gt;0,'Transaction Mapping'!G40,0)</f>
        <v>0</v>
      </c>
      <c r="J78" s="44" t="str">
        <f>'Transaction Mapping'!P40</f>
        <v>Truck It In (Private) Limited</v>
      </c>
      <c r="K78" s="44" t="str">
        <f>'Transaction Mapping'!O40</f>
        <v>Payroll statutory</v>
      </c>
      <c r="L78" s="44" t="str">
        <f t="shared" si="3"/>
        <v>Posted</v>
      </c>
      <c r="M78" s="44" t="str">
        <f>'Transaction Mapping'!T40</f>
        <v>Operating - Payments</v>
      </c>
    </row>
    <row r="79" ht="15.75" customHeight="1">
      <c r="A79" s="44" t="str">
        <f t="shared" ref="A79:A80" si="41">"JE-039"</f>
        <v>JE-039</v>
      </c>
      <c r="B79" s="46">
        <f>'Transaction Mapping'!C41</f>
        <v>45843</v>
      </c>
      <c r="C79" s="44" t="str">
        <f t="shared" si="2"/>
        <v>Bank Statement</v>
      </c>
      <c r="D79" s="44" t="str">
        <f>'Transaction Mapping'!E41</f>
        <v>MBL250705005</v>
      </c>
      <c r="E79" s="44" t="str">
        <f>'Transaction Mapping'!D41</f>
        <v>Online payment - Social Security contribution June</v>
      </c>
      <c r="F79" s="44">
        <f>'Transaction Mapping'!K41</f>
        <v>1030</v>
      </c>
      <c r="G79" s="44" t="str">
        <f>'Transaction Mapping'!L41</f>
        <v>GL not found</v>
      </c>
      <c r="H79" s="47">
        <f>IF('Transaction Mapping'!G41&gt;0,'Transaction Mapping'!G41,0)</f>
        <v>0</v>
      </c>
      <c r="I79" s="47">
        <f>IF('Transaction Mapping'!F41&gt;0,'Transaction Mapping'!F41,0)</f>
        <v>42750</v>
      </c>
      <c r="J79" s="44" t="str">
        <f>'Transaction Mapping'!P41</f>
        <v>Truck It In (Private) Limited</v>
      </c>
      <c r="K79" s="44" t="str">
        <f>'Transaction Mapping'!O41</f>
        <v>Payroll statutory</v>
      </c>
      <c r="L79" s="44" t="str">
        <f t="shared" si="3"/>
        <v>Posted</v>
      </c>
      <c r="M79" s="44" t="str">
        <f>'Transaction Mapping'!T41</f>
        <v>Operating - Payments</v>
      </c>
    </row>
    <row r="80" ht="15.75" customHeight="1">
      <c r="A80" s="44" t="str">
        <f t="shared" si="41"/>
        <v>JE-039</v>
      </c>
      <c r="B80" s="46">
        <f>'Transaction Mapping'!C41</f>
        <v>45843</v>
      </c>
      <c r="C80" s="44" t="str">
        <f t="shared" si="2"/>
        <v>Bank Statement</v>
      </c>
      <c r="D80" s="44" t="str">
        <f>'Transaction Mapping'!E41</f>
        <v>MBL250705005</v>
      </c>
      <c r="E80" s="44" t="str">
        <f>'Transaction Mapping'!D41</f>
        <v>Online payment - Social Security contribution June</v>
      </c>
      <c r="F80" s="44">
        <f>'Transaction Mapping'!M41</f>
        <v>1034</v>
      </c>
      <c r="G80" s="44" t="str">
        <f>'Transaction Mapping'!N41</f>
        <v>GL not found</v>
      </c>
      <c r="H80" s="47">
        <f>IF('Transaction Mapping'!F41&gt;0,'Transaction Mapping'!F41,0)</f>
        <v>42750</v>
      </c>
      <c r="I80" s="47">
        <f>IF('Transaction Mapping'!G41&gt;0,'Transaction Mapping'!G41,0)</f>
        <v>0</v>
      </c>
      <c r="J80" s="44" t="str">
        <f>'Transaction Mapping'!P41</f>
        <v>Truck It In (Private) Limited</v>
      </c>
      <c r="K80" s="44" t="str">
        <f>'Transaction Mapping'!O41</f>
        <v>Payroll statutory</v>
      </c>
      <c r="L80" s="44" t="str">
        <f t="shared" si="3"/>
        <v>Posted</v>
      </c>
      <c r="M80" s="44" t="str">
        <f>'Transaction Mapping'!T41</f>
        <v>Operating - Payments</v>
      </c>
    </row>
    <row r="81" ht="15.75" customHeight="1">
      <c r="A81" s="44" t="str">
        <f t="shared" ref="A81:A82" si="42">"JE-040"</f>
        <v>JE-040</v>
      </c>
      <c r="B81" s="46">
        <f>'Transaction Mapping'!C43</f>
        <v>45845</v>
      </c>
      <c r="C81" s="44" t="str">
        <f t="shared" si="2"/>
        <v>Bank Statement</v>
      </c>
      <c r="D81" s="44" t="str">
        <f>'Transaction Mapping'!E43</f>
        <v>PAY250707A</v>
      </c>
      <c r="E81" s="44" t="str">
        <f>'Transaction Mapping'!D43</f>
        <v>Bulk salary transfer - July payroll batch A</v>
      </c>
      <c r="F81" s="44">
        <f>'Transaction Mapping'!K43</f>
        <v>1030</v>
      </c>
      <c r="G81" s="44" t="str">
        <f>'Transaction Mapping'!L43</f>
        <v>GL not found</v>
      </c>
      <c r="H81" s="47">
        <f>IF('Transaction Mapping'!G43&gt;0,'Transaction Mapping'!G43,0)</f>
        <v>0</v>
      </c>
      <c r="I81" s="47">
        <f>IF('Transaction Mapping'!F43&gt;0,'Transaction Mapping'!F43,0)</f>
        <v>625000</v>
      </c>
      <c r="J81" s="44" t="str">
        <f>'Transaction Mapping'!P43</f>
        <v>Truck It In (Private) Limited</v>
      </c>
      <c r="K81" s="44" t="str">
        <f>'Transaction Mapping'!O43</f>
        <v>Payroll</v>
      </c>
      <c r="L81" s="44" t="str">
        <f t="shared" si="3"/>
        <v>Posted</v>
      </c>
      <c r="M81" s="44" t="str">
        <f>'Transaction Mapping'!T43</f>
        <v>Operating - Payments</v>
      </c>
    </row>
    <row r="82" ht="15.75" customHeight="1">
      <c r="A82" s="44" t="str">
        <f t="shared" si="42"/>
        <v>JE-040</v>
      </c>
      <c r="B82" s="46">
        <f>'Transaction Mapping'!C43</f>
        <v>45845</v>
      </c>
      <c r="C82" s="44" t="str">
        <f t="shared" si="2"/>
        <v>Bank Statement</v>
      </c>
      <c r="D82" s="44" t="str">
        <f>'Transaction Mapping'!E43</f>
        <v>PAY250707A</v>
      </c>
      <c r="E82" s="44" t="str">
        <f>'Transaction Mapping'!D43</f>
        <v>Bulk salary transfer - July payroll batch A</v>
      </c>
      <c r="F82" s="44">
        <f>'Transaction Mapping'!M43</f>
        <v>1034</v>
      </c>
      <c r="G82" s="44" t="str">
        <f>'Transaction Mapping'!N43</f>
        <v>GL not found</v>
      </c>
      <c r="H82" s="47">
        <f>IF('Transaction Mapping'!F43&gt;0,'Transaction Mapping'!F43,0)</f>
        <v>625000</v>
      </c>
      <c r="I82" s="47">
        <f>IF('Transaction Mapping'!G43&gt;0,'Transaction Mapping'!G43,0)</f>
        <v>0</v>
      </c>
      <c r="J82" s="44" t="str">
        <f>'Transaction Mapping'!P43</f>
        <v>Truck It In (Private) Limited</v>
      </c>
      <c r="K82" s="44" t="str">
        <f>'Transaction Mapping'!O43</f>
        <v>Payroll</v>
      </c>
      <c r="L82" s="44" t="str">
        <f t="shared" si="3"/>
        <v>Posted</v>
      </c>
      <c r="M82" s="44" t="str">
        <f>'Transaction Mapping'!T43</f>
        <v>Operating - Payments</v>
      </c>
    </row>
    <row r="83" ht="15.75" customHeight="1">
      <c r="A83" s="44" t="str">
        <f t="shared" ref="A83:A84" si="43">"JE-041"</f>
        <v>JE-041</v>
      </c>
      <c r="B83" s="46">
        <f>'Transaction Mapping'!C44</f>
        <v>45845</v>
      </c>
      <c r="C83" s="44" t="str">
        <f t="shared" si="2"/>
        <v>Bank Statement</v>
      </c>
      <c r="D83" s="44" t="str">
        <f>'Transaction Mapping'!E44</f>
        <v>MBL250707008</v>
      </c>
      <c r="E83" s="44" t="str">
        <f>'Transaction Mapping'!D44</f>
        <v>Payroll processing charges</v>
      </c>
      <c r="F83" s="44">
        <f>'Transaction Mapping'!K44</f>
        <v>1030</v>
      </c>
      <c r="G83" s="44" t="str">
        <f>'Transaction Mapping'!L44</f>
        <v>GL not found</v>
      </c>
      <c r="H83" s="47">
        <f>IF('Transaction Mapping'!G44&gt;0,'Transaction Mapping'!G44,0)</f>
        <v>0</v>
      </c>
      <c r="I83" s="47">
        <f>IF('Transaction Mapping'!F44&gt;0,'Transaction Mapping'!F44,0)</f>
        <v>3750</v>
      </c>
      <c r="J83" s="44" t="str">
        <f>'Transaction Mapping'!P44</f>
        <v>Truck It In (Private) Limited</v>
      </c>
      <c r="K83" s="44" t="str">
        <f>'Transaction Mapping'!O44</f>
        <v>N/A</v>
      </c>
      <c r="L83" s="44" t="str">
        <f t="shared" si="3"/>
        <v>Posted</v>
      </c>
      <c r="M83" s="44" t="str">
        <f>'Transaction Mapping'!T44</f>
        <v>Operating - Payments</v>
      </c>
    </row>
    <row r="84" ht="15.75" customHeight="1">
      <c r="A84" s="44" t="str">
        <f t="shared" si="43"/>
        <v>JE-041</v>
      </c>
      <c r="B84" s="46">
        <f>'Transaction Mapping'!C44</f>
        <v>45845</v>
      </c>
      <c r="C84" s="44" t="str">
        <f t="shared" si="2"/>
        <v>Bank Statement</v>
      </c>
      <c r="D84" s="44" t="str">
        <f>'Transaction Mapping'!E44</f>
        <v>MBL250707008</v>
      </c>
      <c r="E84" s="44" t="str">
        <f>'Transaction Mapping'!D44</f>
        <v>Payroll processing charges</v>
      </c>
      <c r="F84" s="44">
        <f>'Transaction Mapping'!M44</f>
        <v>1057</v>
      </c>
      <c r="G84" s="44" t="str">
        <f>'Transaction Mapping'!N44</f>
        <v>GL not found</v>
      </c>
      <c r="H84" s="47">
        <f>IF('Transaction Mapping'!F44&gt;0,'Transaction Mapping'!F44,0)</f>
        <v>3750</v>
      </c>
      <c r="I84" s="47">
        <f>IF('Transaction Mapping'!G44&gt;0,'Transaction Mapping'!G44,0)</f>
        <v>0</v>
      </c>
      <c r="J84" s="44" t="str">
        <f>'Transaction Mapping'!P44</f>
        <v>Truck It In (Private) Limited</v>
      </c>
      <c r="K84" s="44" t="str">
        <f>'Transaction Mapping'!O44</f>
        <v>N/A</v>
      </c>
      <c r="L84" s="44" t="str">
        <f t="shared" si="3"/>
        <v>Posted</v>
      </c>
      <c r="M84" s="44" t="str">
        <f>'Transaction Mapping'!T44</f>
        <v>Operating - Payments</v>
      </c>
    </row>
    <row r="85" ht="15.75" customHeight="1">
      <c r="A85" s="44" t="str">
        <f t="shared" ref="A85:A86" si="44">"JE-042"</f>
        <v>JE-042</v>
      </c>
      <c r="B85" s="46">
        <f>'Transaction Mapping'!C45</f>
        <v>45845</v>
      </c>
      <c r="C85" s="44" t="str">
        <f t="shared" si="2"/>
        <v>Bank Statement</v>
      </c>
      <c r="D85" s="44" t="str">
        <f>'Transaction Mapping'!E45</f>
        <v>MBL250707009</v>
      </c>
      <c r="E85" s="44" t="str">
        <f>'Transaction Mapping'!D45</f>
        <v>FED on payroll processing charges</v>
      </c>
      <c r="F85" s="44">
        <f>'Transaction Mapping'!K45</f>
        <v>1030</v>
      </c>
      <c r="G85" s="44" t="str">
        <f>'Transaction Mapping'!L45</f>
        <v>GL not found</v>
      </c>
      <c r="H85" s="47">
        <f>IF('Transaction Mapping'!G45&gt;0,'Transaction Mapping'!G45,0)</f>
        <v>0</v>
      </c>
      <c r="I85" s="47">
        <f>IF('Transaction Mapping'!F45&gt;0,'Transaction Mapping'!F45,0)</f>
        <v>600</v>
      </c>
      <c r="J85" s="44" t="str">
        <f>'Transaction Mapping'!P45</f>
        <v>Truck It In (Private) Limited</v>
      </c>
      <c r="K85" s="44" t="str">
        <f>'Transaction Mapping'!O45</f>
        <v>FED expense</v>
      </c>
      <c r="L85" s="44" t="str">
        <f t="shared" si="3"/>
        <v>Posted</v>
      </c>
      <c r="M85" s="44" t="str">
        <f>'Transaction Mapping'!T45</f>
        <v>Operating - Payments</v>
      </c>
    </row>
    <row r="86" ht="15.75" customHeight="1">
      <c r="A86" s="44" t="str">
        <f t="shared" si="44"/>
        <v>JE-042</v>
      </c>
      <c r="B86" s="46">
        <f>'Transaction Mapping'!C45</f>
        <v>45845</v>
      </c>
      <c r="C86" s="44" t="str">
        <f t="shared" si="2"/>
        <v>Bank Statement</v>
      </c>
      <c r="D86" s="44" t="str">
        <f>'Transaction Mapping'!E45</f>
        <v>MBL250707009</v>
      </c>
      <c r="E86" s="44" t="str">
        <f>'Transaction Mapping'!D45</f>
        <v>FED on payroll processing charges</v>
      </c>
      <c r="F86" s="44">
        <f>'Transaction Mapping'!M45</f>
        <v>1068</v>
      </c>
      <c r="G86" s="44" t="str">
        <f>'Transaction Mapping'!N45</f>
        <v>GL not found</v>
      </c>
      <c r="H86" s="47">
        <f>IF('Transaction Mapping'!F45&gt;0,'Transaction Mapping'!F45,0)</f>
        <v>600</v>
      </c>
      <c r="I86" s="47">
        <f>IF('Transaction Mapping'!G45&gt;0,'Transaction Mapping'!G45,0)</f>
        <v>0</v>
      </c>
      <c r="J86" s="44" t="str">
        <f>'Transaction Mapping'!P45</f>
        <v>Truck It In (Private) Limited</v>
      </c>
      <c r="K86" s="44" t="str">
        <f>'Transaction Mapping'!O45</f>
        <v>FED expense</v>
      </c>
      <c r="L86" s="44" t="str">
        <f t="shared" si="3"/>
        <v>Posted</v>
      </c>
      <c r="M86" s="44" t="str">
        <f>'Transaction Mapping'!T45</f>
        <v>Operating - Payments</v>
      </c>
    </row>
    <row r="87" ht="15.75" customHeight="1">
      <c r="A87" s="44" t="str">
        <f t="shared" ref="A87:A88" si="45">"JE-043"</f>
        <v>JE-043</v>
      </c>
      <c r="B87" s="46">
        <f>'Transaction Mapping'!C46</f>
        <v>45846</v>
      </c>
      <c r="C87" s="44" t="str">
        <f t="shared" si="2"/>
        <v>Bank Statement</v>
      </c>
      <c r="D87" s="44" t="str">
        <f>'Transaction Mapping'!E46</f>
        <v>MBL250708010</v>
      </c>
      <c r="E87" s="44" t="str">
        <f>'Transaction Mapping'!D46</f>
        <v>IBFT - Employee advance - M. Usman</v>
      </c>
      <c r="F87" s="44">
        <f>'Transaction Mapping'!K46</f>
        <v>1030</v>
      </c>
      <c r="G87" s="44" t="str">
        <f>'Transaction Mapping'!L46</f>
        <v>GL not found</v>
      </c>
      <c r="H87" s="47">
        <f>IF('Transaction Mapping'!G46&gt;0,'Transaction Mapping'!G46,0)</f>
        <v>0</v>
      </c>
      <c r="I87" s="47">
        <f>IF('Transaction Mapping'!F46&gt;0,'Transaction Mapping'!F46,0)</f>
        <v>30000</v>
      </c>
      <c r="J87" s="44" t="str">
        <f>'Transaction Mapping'!P46</f>
        <v>Truck It In (Private) Limited</v>
      </c>
      <c r="K87" s="44" t="str">
        <f>'Transaction Mapping'!O46</f>
        <v>N/A</v>
      </c>
      <c r="L87" s="44" t="str">
        <f t="shared" si="3"/>
        <v>Posted</v>
      </c>
      <c r="M87" s="44" t="str">
        <f>'Transaction Mapping'!T46</f>
        <v>Operating - Payments</v>
      </c>
    </row>
    <row r="88" ht="15.75" customHeight="1">
      <c r="A88" s="44" t="str">
        <f t="shared" si="45"/>
        <v>JE-043</v>
      </c>
      <c r="B88" s="46">
        <f>'Transaction Mapping'!C46</f>
        <v>45846</v>
      </c>
      <c r="C88" s="44" t="str">
        <f t="shared" si="2"/>
        <v>Bank Statement</v>
      </c>
      <c r="D88" s="44" t="str">
        <f>'Transaction Mapping'!E46</f>
        <v>MBL250708010</v>
      </c>
      <c r="E88" s="44" t="str">
        <f>'Transaction Mapping'!D46</f>
        <v>IBFT - Employee advance - M. Usman</v>
      </c>
      <c r="F88" s="44">
        <f>'Transaction Mapping'!M46</f>
        <v>1025</v>
      </c>
      <c r="G88" s="44" t="str">
        <f>'Transaction Mapping'!N46</f>
        <v>GL not found</v>
      </c>
      <c r="H88" s="47">
        <f>IF('Transaction Mapping'!F46&gt;0,'Transaction Mapping'!F46,0)</f>
        <v>30000</v>
      </c>
      <c r="I88" s="47">
        <f>IF('Transaction Mapping'!G46&gt;0,'Transaction Mapping'!G46,0)</f>
        <v>0</v>
      </c>
      <c r="J88" s="44" t="str">
        <f>'Transaction Mapping'!P46</f>
        <v>Truck It In (Private) Limited</v>
      </c>
      <c r="K88" s="44" t="str">
        <f>'Transaction Mapping'!O46</f>
        <v>N/A</v>
      </c>
      <c r="L88" s="44" t="str">
        <f t="shared" si="3"/>
        <v>Posted</v>
      </c>
      <c r="M88" s="44" t="str">
        <f>'Transaction Mapping'!T46</f>
        <v>Operating - Payments</v>
      </c>
    </row>
    <row r="89" ht="15.75" customHeight="1">
      <c r="A89" s="44" t="str">
        <f t="shared" ref="A89:A90" si="46">"JE-044"</f>
        <v>JE-044</v>
      </c>
      <c r="B89" s="46">
        <f>'Transaction Mapping'!C47</f>
        <v>45848</v>
      </c>
      <c r="C89" s="44" t="str">
        <f t="shared" si="2"/>
        <v>Bank Statement</v>
      </c>
      <c r="D89" s="44" t="str">
        <f>'Transaction Mapping'!E47</f>
        <v>MBL250710011</v>
      </c>
      <c r="E89" s="44" t="str">
        <f>'Transaction Mapping'!D47</f>
        <v>Bulk transfer - Contract drivers settlement W27</v>
      </c>
      <c r="F89" s="44">
        <f>'Transaction Mapping'!K47</f>
        <v>1030</v>
      </c>
      <c r="G89" s="44" t="str">
        <f>'Transaction Mapping'!L47</f>
        <v>GL not found</v>
      </c>
      <c r="H89" s="47">
        <f>IF('Transaction Mapping'!G47&gt;0,'Transaction Mapping'!G47,0)</f>
        <v>0</v>
      </c>
      <c r="I89" s="47">
        <f>IF('Transaction Mapping'!F47&gt;0,'Transaction Mapping'!F47,0)</f>
        <v>156000</v>
      </c>
      <c r="J89" s="44" t="str">
        <f>'Transaction Mapping'!P47</f>
        <v>Truck It In (Private) Limited</v>
      </c>
      <c r="K89" s="44" t="str">
        <f>'Transaction Mapping'!O47</f>
        <v>WHT review</v>
      </c>
      <c r="L89" s="44" t="str">
        <f t="shared" si="3"/>
        <v>Posted</v>
      </c>
      <c r="M89" s="44" t="str">
        <f>'Transaction Mapping'!T47</f>
        <v>Operating - Payments</v>
      </c>
    </row>
    <row r="90" ht="15.75" customHeight="1">
      <c r="A90" s="44" t="str">
        <f t="shared" si="46"/>
        <v>JE-044</v>
      </c>
      <c r="B90" s="46">
        <f>'Transaction Mapping'!C47</f>
        <v>45848</v>
      </c>
      <c r="C90" s="44" t="str">
        <f t="shared" si="2"/>
        <v>Bank Statement</v>
      </c>
      <c r="D90" s="44" t="str">
        <f>'Transaction Mapping'!E47</f>
        <v>MBL250710011</v>
      </c>
      <c r="E90" s="44" t="str">
        <f>'Transaction Mapping'!D47</f>
        <v>Bulk transfer - Contract drivers settlement W27</v>
      </c>
      <c r="F90" s="44">
        <f>'Transaction Mapping'!M47</f>
        <v>1054</v>
      </c>
      <c r="G90" s="44" t="str">
        <f>'Transaction Mapping'!N47</f>
        <v>GL not found</v>
      </c>
      <c r="H90" s="47">
        <f>IF('Transaction Mapping'!F47&gt;0,'Transaction Mapping'!F47,0)</f>
        <v>156000</v>
      </c>
      <c r="I90" s="47">
        <f>IF('Transaction Mapping'!G47&gt;0,'Transaction Mapping'!G47,0)</f>
        <v>0</v>
      </c>
      <c r="J90" s="44" t="str">
        <f>'Transaction Mapping'!P47</f>
        <v>Truck It In (Private) Limited</v>
      </c>
      <c r="K90" s="44" t="str">
        <f>'Transaction Mapping'!O47</f>
        <v>WHT review</v>
      </c>
      <c r="L90" s="44" t="str">
        <f t="shared" si="3"/>
        <v>Posted</v>
      </c>
      <c r="M90" s="44" t="str">
        <f>'Transaction Mapping'!T47</f>
        <v>Operating - Payments</v>
      </c>
    </row>
    <row r="91" ht="15.75" customHeight="1">
      <c r="A91" s="44" t="str">
        <f t="shared" ref="A91:A92" si="47">"JE-045"</f>
        <v>JE-045</v>
      </c>
      <c r="B91" s="46">
        <f>'Transaction Mapping'!C48</f>
        <v>45849</v>
      </c>
      <c r="C91" s="44" t="str">
        <f t="shared" si="2"/>
        <v>Bank Statement</v>
      </c>
      <c r="D91" s="44" t="str">
        <f>'Transaction Mapping'!E48</f>
        <v>MBL250711012</v>
      </c>
      <c r="E91" s="44" t="str">
        <f>'Transaction Mapping'!D48</f>
        <v>Raast reversal - failed driver payment W27</v>
      </c>
      <c r="F91" s="44">
        <f>'Transaction Mapping'!K48</f>
        <v>1030</v>
      </c>
      <c r="G91" s="44" t="str">
        <f>'Transaction Mapping'!L48</f>
        <v>GL not found</v>
      </c>
      <c r="H91" s="47">
        <f>IF('Transaction Mapping'!G48&gt;0,'Transaction Mapping'!G48,0)</f>
        <v>12000</v>
      </c>
      <c r="I91" s="47">
        <f>IF('Transaction Mapping'!F48&gt;0,'Transaction Mapping'!F48,0)</f>
        <v>0</v>
      </c>
      <c r="J91" s="44" t="str">
        <f>'Transaction Mapping'!P48</f>
        <v>Truck It In (Private) Limited</v>
      </c>
      <c r="K91" s="44" t="str">
        <f>'Transaction Mapping'!O48</f>
        <v>N/A</v>
      </c>
      <c r="L91" s="44" t="str">
        <f t="shared" si="3"/>
        <v>Posted</v>
      </c>
      <c r="M91" s="44" t="str">
        <f>'Transaction Mapping'!T48</f>
        <v>Operating - Receipts</v>
      </c>
    </row>
    <row r="92" ht="15.75" customHeight="1">
      <c r="A92" s="44" t="str">
        <f t="shared" si="47"/>
        <v>JE-045</v>
      </c>
      <c r="B92" s="46">
        <f>'Transaction Mapping'!C48</f>
        <v>45849</v>
      </c>
      <c r="C92" s="44" t="str">
        <f t="shared" si="2"/>
        <v>Bank Statement</v>
      </c>
      <c r="D92" s="44" t="str">
        <f>'Transaction Mapping'!E48</f>
        <v>MBL250711012</v>
      </c>
      <c r="E92" s="44" t="str">
        <f>'Transaction Mapping'!D48</f>
        <v>Raast reversal - failed driver payment W27</v>
      </c>
      <c r="F92" s="44">
        <f>'Transaction Mapping'!M48</f>
        <v>1054</v>
      </c>
      <c r="G92" s="44" t="str">
        <f>'Transaction Mapping'!N48</f>
        <v>GL not found</v>
      </c>
      <c r="H92" s="47">
        <f>IF('Transaction Mapping'!F48&gt;0,'Transaction Mapping'!F48,0)</f>
        <v>0</v>
      </c>
      <c r="I92" s="47">
        <f>IF('Transaction Mapping'!G48&gt;0,'Transaction Mapping'!G48,0)</f>
        <v>12000</v>
      </c>
      <c r="J92" s="44" t="str">
        <f>'Transaction Mapping'!P48</f>
        <v>Truck It In (Private) Limited</v>
      </c>
      <c r="K92" s="44" t="str">
        <f>'Transaction Mapping'!O48</f>
        <v>N/A</v>
      </c>
      <c r="L92" s="44" t="str">
        <f t="shared" si="3"/>
        <v>Posted</v>
      </c>
      <c r="M92" s="44" t="str">
        <f>'Transaction Mapping'!T48</f>
        <v>Operating - Receipts</v>
      </c>
    </row>
    <row r="93" ht="15.75" customHeight="1">
      <c r="A93" s="44" t="str">
        <f t="shared" ref="A93:A94" si="48">"JE-046"</f>
        <v>JE-046</v>
      </c>
      <c r="B93" s="46">
        <f>'Transaction Mapping'!C49</f>
        <v>45850</v>
      </c>
      <c r="C93" s="44" t="str">
        <f t="shared" si="2"/>
        <v>Bank Statement</v>
      </c>
      <c r="D93" s="44" t="str">
        <f>'Transaction Mapping'!E49</f>
        <v>MBL250712013</v>
      </c>
      <c r="E93" s="44" t="str">
        <f>'Transaction Mapping'!D49</f>
        <v>Raast retry - driver payment W27</v>
      </c>
      <c r="F93" s="44">
        <f>'Transaction Mapping'!K49</f>
        <v>1030</v>
      </c>
      <c r="G93" s="44" t="str">
        <f>'Transaction Mapping'!L49</f>
        <v>GL not found</v>
      </c>
      <c r="H93" s="47">
        <f>IF('Transaction Mapping'!G49&gt;0,'Transaction Mapping'!G49,0)</f>
        <v>0</v>
      </c>
      <c r="I93" s="47">
        <f>IF('Transaction Mapping'!F49&gt;0,'Transaction Mapping'!F49,0)</f>
        <v>12000</v>
      </c>
      <c r="J93" s="44" t="str">
        <f>'Transaction Mapping'!P49</f>
        <v>Truck It In (Private) Limited</v>
      </c>
      <c r="K93" s="44" t="str">
        <f>'Transaction Mapping'!O49</f>
        <v>WHT review</v>
      </c>
      <c r="L93" s="44" t="str">
        <f t="shared" si="3"/>
        <v>Posted</v>
      </c>
      <c r="M93" s="44" t="str">
        <f>'Transaction Mapping'!T49</f>
        <v>Operating - Payments</v>
      </c>
    </row>
    <row r="94" ht="15.75" customHeight="1">
      <c r="A94" s="44" t="str">
        <f t="shared" si="48"/>
        <v>JE-046</v>
      </c>
      <c r="B94" s="46">
        <f>'Transaction Mapping'!C49</f>
        <v>45850</v>
      </c>
      <c r="C94" s="44" t="str">
        <f t="shared" si="2"/>
        <v>Bank Statement</v>
      </c>
      <c r="D94" s="44" t="str">
        <f>'Transaction Mapping'!E49</f>
        <v>MBL250712013</v>
      </c>
      <c r="E94" s="44" t="str">
        <f>'Transaction Mapping'!D49</f>
        <v>Raast retry - driver payment W27</v>
      </c>
      <c r="F94" s="44">
        <f>'Transaction Mapping'!M49</f>
        <v>1054</v>
      </c>
      <c r="G94" s="44" t="str">
        <f>'Transaction Mapping'!N49</f>
        <v>GL not found</v>
      </c>
      <c r="H94" s="47">
        <f>IF('Transaction Mapping'!F49&gt;0,'Transaction Mapping'!F49,0)</f>
        <v>12000</v>
      </c>
      <c r="I94" s="47">
        <f>IF('Transaction Mapping'!G49&gt;0,'Transaction Mapping'!G49,0)</f>
        <v>0</v>
      </c>
      <c r="J94" s="44" t="str">
        <f>'Transaction Mapping'!P49</f>
        <v>Truck It In (Private) Limited</v>
      </c>
      <c r="K94" s="44" t="str">
        <f>'Transaction Mapping'!O49</f>
        <v>WHT review</v>
      </c>
      <c r="L94" s="44" t="str">
        <f t="shared" si="3"/>
        <v>Posted</v>
      </c>
      <c r="M94" s="44" t="str">
        <f>'Transaction Mapping'!T49</f>
        <v>Operating - Payments</v>
      </c>
    </row>
    <row r="95" ht="15.75" customHeight="1">
      <c r="A95" s="44" t="str">
        <f t="shared" ref="A95:A96" si="49">"JE-047"</f>
        <v>JE-047</v>
      </c>
      <c r="B95" s="46">
        <f>'Transaction Mapping'!C50</f>
        <v>45852</v>
      </c>
      <c r="C95" s="44" t="str">
        <f t="shared" si="2"/>
        <v>Bank Statement</v>
      </c>
      <c r="D95" s="44" t="str">
        <f>'Transaction Mapping'!E50</f>
        <v>MBL250714014</v>
      </c>
      <c r="E95" s="44" t="str">
        <f>'Transaction Mapping'!D50</f>
        <v>IBFT - Staff travel advance - Lahore operations</v>
      </c>
      <c r="F95" s="44">
        <f>'Transaction Mapping'!K50</f>
        <v>1030</v>
      </c>
      <c r="G95" s="44" t="str">
        <f>'Transaction Mapping'!L50</f>
        <v>GL not found</v>
      </c>
      <c r="H95" s="47">
        <f>IF('Transaction Mapping'!G50&gt;0,'Transaction Mapping'!G50,0)</f>
        <v>0</v>
      </c>
      <c r="I95" s="47">
        <f>IF('Transaction Mapping'!F50&gt;0,'Transaction Mapping'!F50,0)</f>
        <v>45000</v>
      </c>
      <c r="J95" s="44" t="str">
        <f>'Transaction Mapping'!P50</f>
        <v>Truck It In (Private) Limited</v>
      </c>
      <c r="K95" s="44" t="str">
        <f>'Transaction Mapping'!O50</f>
        <v>N/A</v>
      </c>
      <c r="L95" s="44" t="str">
        <f t="shared" si="3"/>
        <v>Posted</v>
      </c>
      <c r="M95" s="44" t="str">
        <f>'Transaction Mapping'!T50</f>
        <v>Operating - Payments</v>
      </c>
    </row>
    <row r="96" ht="15.75" customHeight="1">
      <c r="A96" s="44" t="str">
        <f t="shared" si="49"/>
        <v>JE-047</v>
      </c>
      <c r="B96" s="46">
        <f>'Transaction Mapping'!C50</f>
        <v>45852</v>
      </c>
      <c r="C96" s="44" t="str">
        <f t="shared" si="2"/>
        <v>Bank Statement</v>
      </c>
      <c r="D96" s="44" t="str">
        <f>'Transaction Mapping'!E50</f>
        <v>MBL250714014</v>
      </c>
      <c r="E96" s="44" t="str">
        <f>'Transaction Mapping'!D50</f>
        <v>IBFT - Staff travel advance - Lahore operations</v>
      </c>
      <c r="F96" s="44">
        <f>'Transaction Mapping'!M50</f>
        <v>1025</v>
      </c>
      <c r="G96" s="44" t="str">
        <f>'Transaction Mapping'!N50</f>
        <v>GL not found</v>
      </c>
      <c r="H96" s="47">
        <f>IF('Transaction Mapping'!F50&gt;0,'Transaction Mapping'!F50,0)</f>
        <v>45000</v>
      </c>
      <c r="I96" s="47">
        <f>IF('Transaction Mapping'!G50&gt;0,'Transaction Mapping'!G50,0)</f>
        <v>0</v>
      </c>
      <c r="J96" s="44" t="str">
        <f>'Transaction Mapping'!P50</f>
        <v>Truck It In (Private) Limited</v>
      </c>
      <c r="K96" s="44" t="str">
        <f>'Transaction Mapping'!O50</f>
        <v>N/A</v>
      </c>
      <c r="L96" s="44" t="str">
        <f t="shared" si="3"/>
        <v>Posted</v>
      </c>
      <c r="M96" s="44" t="str">
        <f>'Transaction Mapping'!T50</f>
        <v>Operating - Payments</v>
      </c>
    </row>
    <row r="97" ht="15.75" customHeight="1">
      <c r="A97" s="44" t="str">
        <f t="shared" ref="A97:A98" si="50">"JE-048"</f>
        <v>JE-048</v>
      </c>
      <c r="B97" s="46">
        <f>'Transaction Mapping'!C51</f>
        <v>45854</v>
      </c>
      <c r="C97" s="44" t="str">
        <f t="shared" si="2"/>
        <v>Bank Statement</v>
      </c>
      <c r="D97" s="44" t="str">
        <f>'Transaction Mapping'!E51</f>
        <v>CD250716</v>
      </c>
      <c r="E97" s="44" t="str">
        <f>'Transaction Mapping'!D51</f>
        <v>Cash deposit - unused staff advance returned</v>
      </c>
      <c r="F97" s="44">
        <f>'Transaction Mapping'!K51</f>
        <v>1030</v>
      </c>
      <c r="G97" s="44" t="str">
        <f>'Transaction Mapping'!L51</f>
        <v>GL not found</v>
      </c>
      <c r="H97" s="47">
        <f>IF('Transaction Mapping'!G51&gt;0,'Transaction Mapping'!G51,0)</f>
        <v>7500</v>
      </c>
      <c r="I97" s="47">
        <f>IF('Transaction Mapping'!F51&gt;0,'Transaction Mapping'!F51,0)</f>
        <v>0</v>
      </c>
      <c r="J97" s="44" t="str">
        <f>'Transaction Mapping'!P51</f>
        <v>Truck It In (Private) Limited</v>
      </c>
      <c r="K97" s="44" t="str">
        <f>'Transaction Mapping'!O51</f>
        <v>N/A</v>
      </c>
      <c r="L97" s="44" t="str">
        <f t="shared" si="3"/>
        <v>Posted</v>
      </c>
      <c r="M97" s="44" t="str">
        <f>'Transaction Mapping'!T51</f>
        <v>Operating - Receipts</v>
      </c>
    </row>
    <row r="98" ht="15.75" customHeight="1">
      <c r="A98" s="44" t="str">
        <f t="shared" si="50"/>
        <v>JE-048</v>
      </c>
      <c r="B98" s="46">
        <f>'Transaction Mapping'!C51</f>
        <v>45854</v>
      </c>
      <c r="C98" s="44" t="str">
        <f t="shared" si="2"/>
        <v>Bank Statement</v>
      </c>
      <c r="D98" s="44" t="str">
        <f>'Transaction Mapping'!E51</f>
        <v>CD250716</v>
      </c>
      <c r="E98" s="44" t="str">
        <f>'Transaction Mapping'!D51</f>
        <v>Cash deposit - unused staff advance returned</v>
      </c>
      <c r="F98" s="44">
        <f>'Transaction Mapping'!M51</f>
        <v>1025</v>
      </c>
      <c r="G98" s="44" t="str">
        <f>'Transaction Mapping'!N51</f>
        <v>GL not found</v>
      </c>
      <c r="H98" s="47">
        <f>IF('Transaction Mapping'!F51&gt;0,'Transaction Mapping'!F51,0)</f>
        <v>0</v>
      </c>
      <c r="I98" s="47">
        <f>IF('Transaction Mapping'!G51&gt;0,'Transaction Mapping'!G51,0)</f>
        <v>7500</v>
      </c>
      <c r="J98" s="44" t="str">
        <f>'Transaction Mapping'!P51</f>
        <v>Truck It In (Private) Limited</v>
      </c>
      <c r="K98" s="44" t="str">
        <f>'Transaction Mapping'!O51</f>
        <v>N/A</v>
      </c>
      <c r="L98" s="44" t="str">
        <f t="shared" si="3"/>
        <v>Posted</v>
      </c>
      <c r="M98" s="44" t="str">
        <f>'Transaction Mapping'!T51</f>
        <v>Operating - Receipts</v>
      </c>
    </row>
    <row r="99" ht="15.75" customHeight="1">
      <c r="A99" s="44" t="str">
        <f t="shared" ref="A99:A100" si="51">"JE-049"</f>
        <v>JE-049</v>
      </c>
      <c r="B99" s="46">
        <f>'Transaction Mapping'!C52</f>
        <v>45856</v>
      </c>
      <c r="C99" s="44" t="str">
        <f t="shared" si="2"/>
        <v>Bank Statement</v>
      </c>
      <c r="D99" s="44" t="str">
        <f>'Transaction Mapping'!E52</f>
        <v>MBL250718016</v>
      </c>
      <c r="E99" s="44" t="str">
        <f>'Transaction Mapping'!D52</f>
        <v>Bulk transfer - Contract drivers settlement W28</v>
      </c>
      <c r="F99" s="44">
        <f>'Transaction Mapping'!K52</f>
        <v>1030</v>
      </c>
      <c r="G99" s="44" t="str">
        <f>'Transaction Mapping'!L52</f>
        <v>GL not found</v>
      </c>
      <c r="H99" s="47">
        <f>IF('Transaction Mapping'!G52&gt;0,'Transaction Mapping'!G52,0)</f>
        <v>0</v>
      </c>
      <c r="I99" s="47">
        <f>IF('Transaction Mapping'!F52&gt;0,'Transaction Mapping'!F52,0)</f>
        <v>142500</v>
      </c>
      <c r="J99" s="44" t="str">
        <f>'Transaction Mapping'!P52</f>
        <v>Truck It In (Private) Limited</v>
      </c>
      <c r="K99" s="44" t="str">
        <f>'Transaction Mapping'!O52</f>
        <v>WHT review</v>
      </c>
      <c r="L99" s="44" t="str">
        <f t="shared" si="3"/>
        <v>Posted</v>
      </c>
      <c r="M99" s="44" t="str">
        <f>'Transaction Mapping'!T52</f>
        <v>Operating - Payments</v>
      </c>
    </row>
    <row r="100" ht="15.75" customHeight="1">
      <c r="A100" s="44" t="str">
        <f t="shared" si="51"/>
        <v>JE-049</v>
      </c>
      <c r="B100" s="46">
        <f>'Transaction Mapping'!C52</f>
        <v>45856</v>
      </c>
      <c r="C100" s="44" t="str">
        <f t="shared" si="2"/>
        <v>Bank Statement</v>
      </c>
      <c r="D100" s="44" t="str">
        <f>'Transaction Mapping'!E52</f>
        <v>MBL250718016</v>
      </c>
      <c r="E100" s="44" t="str">
        <f>'Transaction Mapping'!D52</f>
        <v>Bulk transfer - Contract drivers settlement W28</v>
      </c>
      <c r="F100" s="44">
        <f>'Transaction Mapping'!M52</f>
        <v>1054</v>
      </c>
      <c r="G100" s="44" t="str">
        <f>'Transaction Mapping'!N52</f>
        <v>GL not found</v>
      </c>
      <c r="H100" s="47">
        <f>IF('Transaction Mapping'!F52&gt;0,'Transaction Mapping'!F52,0)</f>
        <v>142500</v>
      </c>
      <c r="I100" s="47">
        <f>IF('Transaction Mapping'!G52&gt;0,'Transaction Mapping'!G52,0)</f>
        <v>0</v>
      </c>
      <c r="J100" s="44" t="str">
        <f>'Transaction Mapping'!P52</f>
        <v>Truck It In (Private) Limited</v>
      </c>
      <c r="K100" s="44" t="str">
        <f>'Transaction Mapping'!O52</f>
        <v>WHT review</v>
      </c>
      <c r="L100" s="44" t="str">
        <f t="shared" si="3"/>
        <v>Posted</v>
      </c>
      <c r="M100" s="44" t="str">
        <f>'Transaction Mapping'!T52</f>
        <v>Operating - Payments</v>
      </c>
    </row>
    <row r="101" ht="15.75" customHeight="1">
      <c r="A101" s="44" t="str">
        <f t="shared" ref="A101:A102" si="52">"JE-050"</f>
        <v>JE-050</v>
      </c>
      <c r="B101" s="46">
        <f>'Transaction Mapping'!C54</f>
        <v>45859</v>
      </c>
      <c r="C101" s="44" t="str">
        <f t="shared" si="2"/>
        <v>Bank Statement</v>
      </c>
      <c r="D101" s="44" t="str">
        <f>'Transaction Mapping'!E54</f>
        <v>PAY250721B</v>
      </c>
      <c r="E101" s="44" t="str">
        <f>'Transaction Mapping'!D54</f>
        <v>Bulk salary transfer - July payroll batch B</v>
      </c>
      <c r="F101" s="44">
        <f>'Transaction Mapping'!K54</f>
        <v>1030</v>
      </c>
      <c r="G101" s="44" t="str">
        <f>'Transaction Mapping'!L54</f>
        <v>GL not found</v>
      </c>
      <c r="H101" s="47">
        <f>IF('Transaction Mapping'!G54&gt;0,'Transaction Mapping'!G54,0)</f>
        <v>0</v>
      </c>
      <c r="I101" s="47">
        <f>IF('Transaction Mapping'!F54&gt;0,'Transaction Mapping'!F54,0)</f>
        <v>245000</v>
      </c>
      <c r="J101" s="44" t="str">
        <f>'Transaction Mapping'!P54</f>
        <v>Truck It In (Private) Limited</v>
      </c>
      <c r="K101" s="44" t="str">
        <f>'Transaction Mapping'!O54</f>
        <v>Payroll</v>
      </c>
      <c r="L101" s="44" t="str">
        <f t="shared" si="3"/>
        <v>Posted</v>
      </c>
      <c r="M101" s="44" t="str">
        <f>'Transaction Mapping'!T54</f>
        <v>Operating - Payments</v>
      </c>
    </row>
    <row r="102" ht="15.75" customHeight="1">
      <c r="A102" s="44" t="str">
        <f t="shared" si="52"/>
        <v>JE-050</v>
      </c>
      <c r="B102" s="46">
        <f>'Transaction Mapping'!C54</f>
        <v>45859</v>
      </c>
      <c r="C102" s="44" t="str">
        <f t="shared" si="2"/>
        <v>Bank Statement</v>
      </c>
      <c r="D102" s="44" t="str">
        <f>'Transaction Mapping'!E54</f>
        <v>PAY250721B</v>
      </c>
      <c r="E102" s="44" t="str">
        <f>'Transaction Mapping'!D54</f>
        <v>Bulk salary transfer - July payroll batch B</v>
      </c>
      <c r="F102" s="44">
        <f>'Transaction Mapping'!M54</f>
        <v>1034</v>
      </c>
      <c r="G102" s="44" t="str">
        <f>'Transaction Mapping'!N54</f>
        <v>GL not found</v>
      </c>
      <c r="H102" s="47">
        <f>IF('Transaction Mapping'!F54&gt;0,'Transaction Mapping'!F54,0)</f>
        <v>245000</v>
      </c>
      <c r="I102" s="47">
        <f>IF('Transaction Mapping'!G54&gt;0,'Transaction Mapping'!G54,0)</f>
        <v>0</v>
      </c>
      <c r="J102" s="44" t="str">
        <f>'Transaction Mapping'!P54</f>
        <v>Truck It In (Private) Limited</v>
      </c>
      <c r="K102" s="44" t="str">
        <f>'Transaction Mapping'!O54</f>
        <v>Payroll</v>
      </c>
      <c r="L102" s="44" t="str">
        <f t="shared" si="3"/>
        <v>Posted</v>
      </c>
      <c r="M102" s="44" t="str">
        <f>'Transaction Mapping'!T54</f>
        <v>Operating - Payments</v>
      </c>
    </row>
    <row r="103" ht="15.75" customHeight="1">
      <c r="A103" s="44" t="str">
        <f t="shared" ref="A103:A104" si="53">"JE-051"</f>
        <v>JE-051</v>
      </c>
      <c r="B103" s="46">
        <f>'Transaction Mapping'!C55</f>
        <v>45860</v>
      </c>
      <c r="C103" s="44" t="str">
        <f t="shared" si="2"/>
        <v>Bank Statement</v>
      </c>
      <c r="D103" s="44" t="str">
        <f>'Transaction Mapping'!E55</f>
        <v>MBL250722019</v>
      </c>
      <c r="E103" s="44" t="str">
        <f>'Transaction Mapping'!D55</f>
        <v>IBFT - Employee medical reimbursement</v>
      </c>
      <c r="F103" s="44">
        <f>'Transaction Mapping'!K55</f>
        <v>1030</v>
      </c>
      <c r="G103" s="44" t="str">
        <f>'Transaction Mapping'!L55</f>
        <v>GL not found</v>
      </c>
      <c r="H103" s="47">
        <f>IF('Transaction Mapping'!G55&gt;0,'Transaction Mapping'!G55,0)</f>
        <v>0</v>
      </c>
      <c r="I103" s="47">
        <f>IF('Transaction Mapping'!F55&gt;0,'Transaction Mapping'!F55,0)</f>
        <v>22000</v>
      </c>
      <c r="J103" s="44" t="str">
        <f>'Transaction Mapping'!P55</f>
        <v>Truck It In (Private) Limited</v>
      </c>
      <c r="K103" s="44" t="str">
        <f>'Transaction Mapping'!O55</f>
        <v>N/A</v>
      </c>
      <c r="L103" s="44" t="str">
        <f t="shared" si="3"/>
        <v>Posted</v>
      </c>
      <c r="M103" s="44" t="str">
        <f>'Transaction Mapping'!T55</f>
        <v>Operating - Payments</v>
      </c>
    </row>
    <row r="104" ht="15.75" customHeight="1">
      <c r="A104" s="44" t="str">
        <f t="shared" si="53"/>
        <v>JE-051</v>
      </c>
      <c r="B104" s="46">
        <f>'Transaction Mapping'!C55</f>
        <v>45860</v>
      </c>
      <c r="C104" s="44" t="str">
        <f t="shared" si="2"/>
        <v>Bank Statement</v>
      </c>
      <c r="D104" s="44" t="str">
        <f>'Transaction Mapping'!E55</f>
        <v>MBL250722019</v>
      </c>
      <c r="E104" s="44" t="str">
        <f>'Transaction Mapping'!D55</f>
        <v>IBFT - Employee medical reimbursement</v>
      </c>
      <c r="F104" s="44">
        <f>'Transaction Mapping'!M55</f>
        <v>1068</v>
      </c>
      <c r="G104" s="44" t="str">
        <f>'Transaction Mapping'!N55</f>
        <v>GL not found</v>
      </c>
      <c r="H104" s="47">
        <f>IF('Transaction Mapping'!F55&gt;0,'Transaction Mapping'!F55,0)</f>
        <v>22000</v>
      </c>
      <c r="I104" s="47">
        <f>IF('Transaction Mapping'!G55&gt;0,'Transaction Mapping'!G55,0)</f>
        <v>0</v>
      </c>
      <c r="J104" s="44" t="str">
        <f>'Transaction Mapping'!P55</f>
        <v>Truck It In (Private) Limited</v>
      </c>
      <c r="K104" s="44" t="str">
        <f>'Transaction Mapping'!O55</f>
        <v>N/A</v>
      </c>
      <c r="L104" s="44" t="str">
        <f t="shared" si="3"/>
        <v>Posted</v>
      </c>
      <c r="M104" s="44" t="str">
        <f>'Transaction Mapping'!T55</f>
        <v>Operating - Payments</v>
      </c>
    </row>
    <row r="105" ht="15.75" customHeight="1">
      <c r="A105" s="44" t="str">
        <f t="shared" ref="A105:A106" si="54">"JE-052"</f>
        <v>JE-052</v>
      </c>
      <c r="B105" s="46">
        <f>'Transaction Mapping'!C56</f>
        <v>45862</v>
      </c>
      <c r="C105" s="44" t="str">
        <f t="shared" si="2"/>
        <v>Bank Statement</v>
      </c>
      <c r="D105" s="44" t="str">
        <f>'Transaction Mapping'!E56</f>
        <v>MBL250724020</v>
      </c>
      <c r="E105" s="44" t="str">
        <f>'Transaction Mapping'!D56</f>
        <v>Bulk transfer - Contract drivers settlement W29</v>
      </c>
      <c r="F105" s="44">
        <f>'Transaction Mapping'!K56</f>
        <v>1030</v>
      </c>
      <c r="G105" s="44" t="str">
        <f>'Transaction Mapping'!L56</f>
        <v>GL not found</v>
      </c>
      <c r="H105" s="47">
        <f>IF('Transaction Mapping'!G56&gt;0,'Transaction Mapping'!G56,0)</f>
        <v>0</v>
      </c>
      <c r="I105" s="47">
        <f>IF('Transaction Mapping'!F56&gt;0,'Transaction Mapping'!F56,0)</f>
        <v>138000</v>
      </c>
      <c r="J105" s="44" t="str">
        <f>'Transaction Mapping'!P56</f>
        <v>Truck It In (Private) Limited</v>
      </c>
      <c r="K105" s="44" t="str">
        <f>'Transaction Mapping'!O56</f>
        <v>WHT review</v>
      </c>
      <c r="L105" s="44" t="str">
        <f t="shared" si="3"/>
        <v>Posted</v>
      </c>
      <c r="M105" s="44" t="str">
        <f>'Transaction Mapping'!T56</f>
        <v>Operating - Payments</v>
      </c>
    </row>
    <row r="106" ht="15.75" customHeight="1">
      <c r="A106" s="44" t="str">
        <f t="shared" si="54"/>
        <v>JE-052</v>
      </c>
      <c r="B106" s="46">
        <f>'Transaction Mapping'!C56</f>
        <v>45862</v>
      </c>
      <c r="C106" s="44" t="str">
        <f t="shared" si="2"/>
        <v>Bank Statement</v>
      </c>
      <c r="D106" s="44" t="str">
        <f>'Transaction Mapping'!E56</f>
        <v>MBL250724020</v>
      </c>
      <c r="E106" s="44" t="str">
        <f>'Transaction Mapping'!D56</f>
        <v>Bulk transfer - Contract drivers settlement W29</v>
      </c>
      <c r="F106" s="44">
        <f>'Transaction Mapping'!M56</f>
        <v>1054</v>
      </c>
      <c r="G106" s="44" t="str">
        <f>'Transaction Mapping'!N56</f>
        <v>GL not found</v>
      </c>
      <c r="H106" s="47">
        <f>IF('Transaction Mapping'!F56&gt;0,'Transaction Mapping'!F56,0)</f>
        <v>138000</v>
      </c>
      <c r="I106" s="47">
        <f>IF('Transaction Mapping'!G56&gt;0,'Transaction Mapping'!G56,0)</f>
        <v>0</v>
      </c>
      <c r="J106" s="44" t="str">
        <f>'Transaction Mapping'!P56</f>
        <v>Truck It In (Private) Limited</v>
      </c>
      <c r="K106" s="44" t="str">
        <f>'Transaction Mapping'!O56</f>
        <v>WHT review</v>
      </c>
      <c r="L106" s="44" t="str">
        <f t="shared" si="3"/>
        <v>Posted</v>
      </c>
      <c r="M106" s="44" t="str">
        <f>'Transaction Mapping'!T56</f>
        <v>Operating - Payments</v>
      </c>
    </row>
    <row r="107" ht="15.75" customHeight="1">
      <c r="A107" s="44" t="str">
        <f t="shared" ref="A107:A108" si="55">"JE-053"</f>
        <v>JE-053</v>
      </c>
      <c r="B107" s="46">
        <f>'Transaction Mapping'!C57</f>
        <v>45863</v>
      </c>
      <c r="C107" s="44" t="str">
        <f t="shared" si="2"/>
        <v>Bank Statement</v>
      </c>
      <c r="D107" s="44" t="str">
        <f>'Transaction Mapping'!E57</f>
        <v>MBL250725021</v>
      </c>
      <c r="E107" s="44" t="str">
        <f>'Transaction Mapping'!D57</f>
        <v>Raast CR - employee advance recovery</v>
      </c>
      <c r="F107" s="44">
        <f>'Transaction Mapping'!K57</f>
        <v>1030</v>
      </c>
      <c r="G107" s="44" t="str">
        <f>'Transaction Mapping'!L57</f>
        <v>GL not found</v>
      </c>
      <c r="H107" s="47">
        <f>IF('Transaction Mapping'!G57&gt;0,'Transaction Mapping'!G57,0)</f>
        <v>10000</v>
      </c>
      <c r="I107" s="47">
        <f>IF('Transaction Mapping'!F57&gt;0,'Transaction Mapping'!F57,0)</f>
        <v>0</v>
      </c>
      <c r="J107" s="44" t="str">
        <f>'Transaction Mapping'!P57</f>
        <v>Truck It In (Private) Limited</v>
      </c>
      <c r="K107" s="44" t="str">
        <f>'Transaction Mapping'!O57</f>
        <v>N/A</v>
      </c>
      <c r="L107" s="44" t="str">
        <f t="shared" si="3"/>
        <v>Posted</v>
      </c>
      <c r="M107" s="44" t="str">
        <f>'Transaction Mapping'!T57</f>
        <v>Operating - Receipts</v>
      </c>
    </row>
    <row r="108" ht="15.75" customHeight="1">
      <c r="A108" s="44" t="str">
        <f t="shared" si="55"/>
        <v>JE-053</v>
      </c>
      <c r="B108" s="46">
        <f>'Transaction Mapping'!C57</f>
        <v>45863</v>
      </c>
      <c r="C108" s="44" t="str">
        <f t="shared" si="2"/>
        <v>Bank Statement</v>
      </c>
      <c r="D108" s="44" t="str">
        <f>'Transaction Mapping'!E57</f>
        <v>MBL250725021</v>
      </c>
      <c r="E108" s="44" t="str">
        <f>'Transaction Mapping'!D57</f>
        <v>Raast CR - employee advance recovery</v>
      </c>
      <c r="F108" s="44">
        <f>'Transaction Mapping'!M57</f>
        <v>1025</v>
      </c>
      <c r="G108" s="44" t="str">
        <f>'Transaction Mapping'!N57</f>
        <v>GL not found</v>
      </c>
      <c r="H108" s="47">
        <f>IF('Transaction Mapping'!F57&gt;0,'Transaction Mapping'!F57,0)</f>
        <v>0</v>
      </c>
      <c r="I108" s="47">
        <f>IF('Transaction Mapping'!G57&gt;0,'Transaction Mapping'!G57,0)</f>
        <v>10000</v>
      </c>
      <c r="J108" s="44" t="str">
        <f>'Transaction Mapping'!P57</f>
        <v>Truck It In (Private) Limited</v>
      </c>
      <c r="K108" s="44" t="str">
        <f>'Transaction Mapping'!O57</f>
        <v>N/A</v>
      </c>
      <c r="L108" s="44" t="str">
        <f t="shared" si="3"/>
        <v>Posted</v>
      </c>
      <c r="M108" s="44" t="str">
        <f>'Transaction Mapping'!T57</f>
        <v>Operating - Receipts</v>
      </c>
    </row>
    <row r="109" ht="15.75" customHeight="1">
      <c r="A109" s="44" t="str">
        <f t="shared" ref="A109:A110" si="56">"JE-054"</f>
        <v>JE-054</v>
      </c>
      <c r="B109" s="46">
        <f>'Transaction Mapping'!C58</f>
        <v>45866</v>
      </c>
      <c r="C109" s="44" t="str">
        <f t="shared" si="2"/>
        <v>Bank Statement</v>
      </c>
      <c r="D109" s="44" t="str">
        <f>'Transaction Mapping'!E58</f>
        <v>MBL250728022</v>
      </c>
      <c r="E109" s="44" t="str">
        <f>'Transaction Mapping'!D58</f>
        <v>IBFT - Final settlement - Former employee</v>
      </c>
      <c r="F109" s="44">
        <f>'Transaction Mapping'!K58</f>
        <v>1030</v>
      </c>
      <c r="G109" s="44" t="str">
        <f>'Transaction Mapping'!L58</f>
        <v>GL not found</v>
      </c>
      <c r="H109" s="47">
        <f>IF('Transaction Mapping'!G58&gt;0,'Transaction Mapping'!G58,0)</f>
        <v>0</v>
      </c>
      <c r="I109" s="47">
        <f>IF('Transaction Mapping'!F58&gt;0,'Transaction Mapping'!F58,0)</f>
        <v>78500</v>
      </c>
      <c r="J109" s="44" t="str">
        <f>'Transaction Mapping'!P58</f>
        <v>Truck It In (Private) Limited</v>
      </c>
      <c r="K109" s="44" t="str">
        <f>'Transaction Mapping'!O58</f>
        <v>Payroll</v>
      </c>
      <c r="L109" s="44" t="str">
        <f t="shared" si="3"/>
        <v>Posted</v>
      </c>
      <c r="M109" s="44" t="str">
        <f>'Transaction Mapping'!T58</f>
        <v>Operating - Payments</v>
      </c>
    </row>
    <row r="110" ht="15.75" customHeight="1">
      <c r="A110" s="44" t="str">
        <f t="shared" si="56"/>
        <v>JE-054</v>
      </c>
      <c r="B110" s="46">
        <f>'Transaction Mapping'!C58</f>
        <v>45866</v>
      </c>
      <c r="C110" s="44" t="str">
        <f t="shared" si="2"/>
        <v>Bank Statement</v>
      </c>
      <c r="D110" s="44" t="str">
        <f>'Transaction Mapping'!E58</f>
        <v>MBL250728022</v>
      </c>
      <c r="E110" s="44" t="str">
        <f>'Transaction Mapping'!D58</f>
        <v>IBFT - Final settlement - Former employee</v>
      </c>
      <c r="F110" s="44">
        <f>'Transaction Mapping'!M58</f>
        <v>1034</v>
      </c>
      <c r="G110" s="44" t="str">
        <f>'Transaction Mapping'!N58</f>
        <v>GL not found</v>
      </c>
      <c r="H110" s="47">
        <f>IF('Transaction Mapping'!F58&gt;0,'Transaction Mapping'!F58,0)</f>
        <v>78500</v>
      </c>
      <c r="I110" s="47">
        <f>IF('Transaction Mapping'!G58&gt;0,'Transaction Mapping'!G58,0)</f>
        <v>0</v>
      </c>
      <c r="J110" s="44" t="str">
        <f>'Transaction Mapping'!P58</f>
        <v>Truck It In (Private) Limited</v>
      </c>
      <c r="K110" s="44" t="str">
        <f>'Transaction Mapping'!O58</f>
        <v>Payroll</v>
      </c>
      <c r="L110" s="44" t="str">
        <f t="shared" si="3"/>
        <v>Posted</v>
      </c>
      <c r="M110" s="44" t="str">
        <f>'Transaction Mapping'!T58</f>
        <v>Operating - Payments</v>
      </c>
    </row>
    <row r="111" ht="15.75" customHeight="1">
      <c r="A111" s="44" t="str">
        <f t="shared" ref="A111:A112" si="57">"JE-055"</f>
        <v>JE-055</v>
      </c>
      <c r="B111" s="46">
        <f>'Transaction Mapping'!C59</f>
        <v>45867</v>
      </c>
      <c r="C111" s="44" t="str">
        <f t="shared" si="2"/>
        <v>Bank Statement</v>
      </c>
      <c r="D111" s="44" t="str">
        <f>'Transaction Mapping'!E59</f>
        <v>MBL250729023</v>
      </c>
      <c r="E111" s="44" t="str">
        <f>'Transaction Mapping'!D59</f>
        <v>Bulk transfer - Contract drivers settlement W30</v>
      </c>
      <c r="F111" s="44">
        <f>'Transaction Mapping'!K59</f>
        <v>1030</v>
      </c>
      <c r="G111" s="44" t="str">
        <f>'Transaction Mapping'!L59</f>
        <v>GL not found</v>
      </c>
      <c r="H111" s="47">
        <f>IF('Transaction Mapping'!G59&gt;0,'Transaction Mapping'!G59,0)</f>
        <v>0</v>
      </c>
      <c r="I111" s="47">
        <f>IF('Transaction Mapping'!F59&gt;0,'Transaction Mapping'!F59,0)</f>
        <v>149000</v>
      </c>
      <c r="J111" s="44" t="str">
        <f>'Transaction Mapping'!P59</f>
        <v>Truck It In (Private) Limited</v>
      </c>
      <c r="K111" s="44" t="str">
        <f>'Transaction Mapping'!O59</f>
        <v>WHT review</v>
      </c>
      <c r="L111" s="44" t="str">
        <f t="shared" si="3"/>
        <v>Posted</v>
      </c>
      <c r="M111" s="44" t="str">
        <f>'Transaction Mapping'!T59</f>
        <v>Operating - Payments</v>
      </c>
    </row>
    <row r="112" ht="15.75" customHeight="1">
      <c r="A112" s="44" t="str">
        <f t="shared" si="57"/>
        <v>JE-055</v>
      </c>
      <c r="B112" s="46">
        <f>'Transaction Mapping'!C59</f>
        <v>45867</v>
      </c>
      <c r="C112" s="44" t="str">
        <f t="shared" si="2"/>
        <v>Bank Statement</v>
      </c>
      <c r="D112" s="44" t="str">
        <f>'Transaction Mapping'!E59</f>
        <v>MBL250729023</v>
      </c>
      <c r="E112" s="44" t="str">
        <f>'Transaction Mapping'!D59</f>
        <v>Bulk transfer - Contract drivers settlement W30</v>
      </c>
      <c r="F112" s="44">
        <f>'Transaction Mapping'!M59</f>
        <v>1054</v>
      </c>
      <c r="G112" s="44" t="str">
        <f>'Transaction Mapping'!N59</f>
        <v>GL not found</v>
      </c>
      <c r="H112" s="47">
        <f>IF('Transaction Mapping'!F59&gt;0,'Transaction Mapping'!F59,0)</f>
        <v>149000</v>
      </c>
      <c r="I112" s="47">
        <f>IF('Transaction Mapping'!G59&gt;0,'Transaction Mapping'!G59,0)</f>
        <v>0</v>
      </c>
      <c r="J112" s="44" t="str">
        <f>'Transaction Mapping'!P59</f>
        <v>Truck It In (Private) Limited</v>
      </c>
      <c r="K112" s="44" t="str">
        <f>'Transaction Mapping'!O59</f>
        <v>WHT review</v>
      </c>
      <c r="L112" s="44" t="str">
        <f t="shared" si="3"/>
        <v>Posted</v>
      </c>
      <c r="M112" s="44" t="str">
        <f>'Transaction Mapping'!T59</f>
        <v>Operating - Payments</v>
      </c>
    </row>
    <row r="113" ht="15.75" customHeight="1">
      <c r="A113" s="44" t="str">
        <f t="shared" ref="A113:A114" si="58">"JE-056"</f>
        <v>JE-056</v>
      </c>
      <c r="B113" s="46">
        <f>'Transaction Mapping'!C60</f>
        <v>45869</v>
      </c>
      <c r="C113" s="44" t="str">
        <f t="shared" si="2"/>
        <v>Bank Statement</v>
      </c>
      <c r="D113" s="44" t="str">
        <f>'Transaction Mapping'!E60</f>
        <v>MBL250731024</v>
      </c>
      <c r="E113" s="44" t="str">
        <f>'Transaction Mapping'!D60</f>
        <v>Bank service charges - July</v>
      </c>
      <c r="F113" s="44">
        <f>'Transaction Mapping'!K60</f>
        <v>1030</v>
      </c>
      <c r="G113" s="44" t="str">
        <f>'Transaction Mapping'!L60</f>
        <v>GL not found</v>
      </c>
      <c r="H113" s="47">
        <f>IF('Transaction Mapping'!G60&gt;0,'Transaction Mapping'!G60,0)</f>
        <v>0</v>
      </c>
      <c r="I113" s="47">
        <f>IF('Transaction Mapping'!F60&gt;0,'Transaction Mapping'!F60,0)</f>
        <v>1800</v>
      </c>
      <c r="J113" s="44" t="str">
        <f>'Transaction Mapping'!P60</f>
        <v>Truck It In (Private) Limited</v>
      </c>
      <c r="K113" s="44" t="str">
        <f>'Transaction Mapping'!O60</f>
        <v>N/A</v>
      </c>
      <c r="L113" s="44" t="str">
        <f t="shared" si="3"/>
        <v>Posted</v>
      </c>
      <c r="M113" s="44" t="str">
        <f>'Transaction Mapping'!T60</f>
        <v>Operating - Payments</v>
      </c>
    </row>
    <row r="114" ht="15.75" customHeight="1">
      <c r="A114" s="44" t="str">
        <f t="shared" si="58"/>
        <v>JE-056</v>
      </c>
      <c r="B114" s="46">
        <f>'Transaction Mapping'!C60</f>
        <v>45869</v>
      </c>
      <c r="C114" s="44" t="str">
        <f t="shared" si="2"/>
        <v>Bank Statement</v>
      </c>
      <c r="D114" s="44" t="str">
        <f>'Transaction Mapping'!E60</f>
        <v>MBL250731024</v>
      </c>
      <c r="E114" s="44" t="str">
        <f>'Transaction Mapping'!D60</f>
        <v>Bank service charges - July</v>
      </c>
      <c r="F114" s="44">
        <f>'Transaction Mapping'!M60</f>
        <v>1057</v>
      </c>
      <c r="G114" s="44" t="str">
        <f>'Transaction Mapping'!N60</f>
        <v>GL not found</v>
      </c>
      <c r="H114" s="47">
        <f>IF('Transaction Mapping'!F60&gt;0,'Transaction Mapping'!F60,0)</f>
        <v>1800</v>
      </c>
      <c r="I114" s="47">
        <f>IF('Transaction Mapping'!G60&gt;0,'Transaction Mapping'!G60,0)</f>
        <v>0</v>
      </c>
      <c r="J114" s="44" t="str">
        <f>'Transaction Mapping'!P60</f>
        <v>Truck It In (Private) Limited</v>
      </c>
      <c r="K114" s="44" t="str">
        <f>'Transaction Mapping'!O60</f>
        <v>N/A</v>
      </c>
      <c r="L114" s="44" t="str">
        <f t="shared" si="3"/>
        <v>Posted</v>
      </c>
      <c r="M114" s="44" t="str">
        <f>'Transaction Mapping'!T60</f>
        <v>Operating - Payments</v>
      </c>
    </row>
    <row r="115" ht="15.75" customHeight="1">
      <c r="A115" s="44" t="str">
        <f t="shared" ref="A115:A116" si="59">"JE-057"</f>
        <v>JE-057</v>
      </c>
      <c r="B115" s="46">
        <f>'Transaction Mapping'!C61</f>
        <v>45869</v>
      </c>
      <c r="C115" s="44" t="str">
        <f t="shared" si="2"/>
        <v>Bank Statement</v>
      </c>
      <c r="D115" s="44" t="str">
        <f>'Transaction Mapping'!E61</f>
        <v>MBL250731025</v>
      </c>
      <c r="E115" s="44" t="str">
        <f>'Transaction Mapping'!D61</f>
        <v>FED on bank service charges</v>
      </c>
      <c r="F115" s="44">
        <f>'Transaction Mapping'!K61</f>
        <v>1030</v>
      </c>
      <c r="G115" s="44" t="str">
        <f>'Transaction Mapping'!L61</f>
        <v>GL not found</v>
      </c>
      <c r="H115" s="47">
        <f>IF('Transaction Mapping'!G61&gt;0,'Transaction Mapping'!G61,0)</f>
        <v>0</v>
      </c>
      <c r="I115" s="47">
        <f>IF('Transaction Mapping'!F61&gt;0,'Transaction Mapping'!F61,0)</f>
        <v>288</v>
      </c>
      <c r="J115" s="44" t="str">
        <f>'Transaction Mapping'!P61</f>
        <v>Truck It In (Private) Limited</v>
      </c>
      <c r="K115" s="44" t="str">
        <f>'Transaction Mapping'!O61</f>
        <v>FED expense</v>
      </c>
      <c r="L115" s="44" t="str">
        <f t="shared" si="3"/>
        <v>Posted</v>
      </c>
      <c r="M115" s="44" t="str">
        <f>'Transaction Mapping'!T61</f>
        <v>Operating - Payments</v>
      </c>
    </row>
    <row r="116" ht="15.75" customHeight="1">
      <c r="A116" s="44" t="str">
        <f t="shared" si="59"/>
        <v>JE-057</v>
      </c>
      <c r="B116" s="46">
        <f>'Transaction Mapping'!C61</f>
        <v>45869</v>
      </c>
      <c r="C116" s="44" t="str">
        <f t="shared" si="2"/>
        <v>Bank Statement</v>
      </c>
      <c r="D116" s="44" t="str">
        <f>'Transaction Mapping'!E61</f>
        <v>MBL250731025</v>
      </c>
      <c r="E116" s="44" t="str">
        <f>'Transaction Mapping'!D61</f>
        <v>FED on bank service charges</v>
      </c>
      <c r="F116" s="44">
        <f>'Transaction Mapping'!M61</f>
        <v>1068</v>
      </c>
      <c r="G116" s="44" t="str">
        <f>'Transaction Mapping'!N61</f>
        <v>GL not found</v>
      </c>
      <c r="H116" s="47">
        <f>IF('Transaction Mapping'!F61&gt;0,'Transaction Mapping'!F61,0)</f>
        <v>288</v>
      </c>
      <c r="I116" s="47">
        <f>IF('Transaction Mapping'!G61&gt;0,'Transaction Mapping'!G61,0)</f>
        <v>0</v>
      </c>
      <c r="J116" s="44" t="str">
        <f>'Transaction Mapping'!P61</f>
        <v>Truck It In (Private) Limited</v>
      </c>
      <c r="K116" s="44" t="str">
        <f>'Transaction Mapping'!O61</f>
        <v>FED expense</v>
      </c>
      <c r="L116" s="44" t="str">
        <f t="shared" si="3"/>
        <v>Posted</v>
      </c>
      <c r="M116" s="44" t="str">
        <f>'Transaction Mapping'!T61</f>
        <v>Operating - Payments</v>
      </c>
    </row>
    <row r="117" ht="15.75" customHeight="1">
      <c r="A117" s="44" t="s">
        <v>720</v>
      </c>
      <c r="B117" s="46">
        <v>45839.0</v>
      </c>
      <c r="C117" s="44" t="s">
        <v>721</v>
      </c>
      <c r="D117" s="44" t="s">
        <v>722</v>
      </c>
      <c r="E117" s="44" t="s">
        <v>723</v>
      </c>
      <c r="F117" s="44">
        <v>1029.0</v>
      </c>
      <c r="G117" s="44" t="str">
        <f t="array" ref="G117">IFERROR(XLOOKUP(F117,'Chart of Accounts'!$H$6:$H$67,'Chart of Accounts'!$I$6:$I$67),"GL not found")</f>
        <v>GL not found</v>
      </c>
      <c r="H117" s="47">
        <v>3250000.0</v>
      </c>
      <c r="I117" s="47">
        <v>0.0</v>
      </c>
      <c r="J117" s="44" t="s">
        <v>5</v>
      </c>
      <c r="K117" s="44" t="s">
        <v>277</v>
      </c>
      <c r="L117" s="44" t="s">
        <v>724</v>
      </c>
      <c r="M117" s="44" t="s">
        <v>721</v>
      </c>
    </row>
    <row r="118" ht="15.75" customHeight="1">
      <c r="A118" s="44" t="s">
        <v>720</v>
      </c>
      <c r="B118" s="46">
        <v>45839.0</v>
      </c>
      <c r="C118" s="44" t="s">
        <v>721</v>
      </c>
      <c r="D118" s="44" t="s">
        <v>722</v>
      </c>
      <c r="E118" s="44" t="s">
        <v>725</v>
      </c>
      <c r="F118" s="44">
        <v>1030.0</v>
      </c>
      <c r="G118" s="44" t="str">
        <f t="array" ref="G118">IFERROR(XLOOKUP(F118,'Chart of Accounts'!$H$6:$H$67,'Chart of Accounts'!$I$6:$I$67),"GL not found")</f>
        <v>GL not found</v>
      </c>
      <c r="H118" s="47">
        <v>480000.0</v>
      </c>
      <c r="I118" s="47">
        <v>0.0</v>
      </c>
      <c r="J118" s="44" t="s">
        <v>5</v>
      </c>
      <c r="K118" s="44" t="s">
        <v>277</v>
      </c>
      <c r="L118" s="44" t="s">
        <v>724</v>
      </c>
      <c r="M118" s="44" t="s">
        <v>721</v>
      </c>
    </row>
    <row r="119" ht="15.75" customHeight="1">
      <c r="A119" s="44" t="s">
        <v>720</v>
      </c>
      <c r="B119" s="46">
        <v>45839.0</v>
      </c>
      <c r="C119" s="44" t="s">
        <v>721</v>
      </c>
      <c r="D119" s="44" t="s">
        <v>722</v>
      </c>
      <c r="E119" s="44" t="s">
        <v>726</v>
      </c>
      <c r="F119" s="44">
        <v>1018.0</v>
      </c>
      <c r="G119" s="44" t="str">
        <f t="array" ref="G119">IFERROR(XLOOKUP(F119,'Chart of Accounts'!$H$6:$H$67,'Chart of Accounts'!$I$6:$I$67),"GL not found")</f>
        <v>GL not found</v>
      </c>
      <c r="H119" s="47">
        <v>4000000.0</v>
      </c>
      <c r="I119" s="47">
        <v>0.0</v>
      </c>
      <c r="J119" s="44" t="s">
        <v>5</v>
      </c>
      <c r="K119" s="44" t="s">
        <v>277</v>
      </c>
      <c r="L119" s="44" t="s">
        <v>724</v>
      </c>
      <c r="M119" s="44" t="s">
        <v>721</v>
      </c>
    </row>
    <row r="120" ht="15.75" customHeight="1">
      <c r="A120" s="44" t="s">
        <v>720</v>
      </c>
      <c r="B120" s="46">
        <v>45839.0</v>
      </c>
      <c r="C120" s="44" t="s">
        <v>721</v>
      </c>
      <c r="D120" s="44" t="s">
        <v>722</v>
      </c>
      <c r="E120" s="44" t="s">
        <v>727</v>
      </c>
      <c r="F120" s="44">
        <v>1034.0</v>
      </c>
      <c r="G120" s="44" t="str">
        <f t="array" ref="G120">IFERROR(XLOOKUP(F120,'Chart of Accounts'!$H$6:$H$67,'Chart of Accounts'!$I$6:$I$67),"GL not found")</f>
        <v>GL not found</v>
      </c>
      <c r="H120" s="47">
        <v>0.0</v>
      </c>
      <c r="I120" s="47">
        <v>1100000.0</v>
      </c>
      <c r="J120" s="44" t="s">
        <v>5</v>
      </c>
      <c r="K120" s="44" t="s">
        <v>277</v>
      </c>
      <c r="L120" s="44" t="s">
        <v>724</v>
      </c>
      <c r="M120" s="44" t="s">
        <v>721</v>
      </c>
    </row>
    <row r="121" ht="15.75" customHeight="1">
      <c r="A121" s="44" t="s">
        <v>720</v>
      </c>
      <c r="B121" s="46">
        <v>45839.0</v>
      </c>
      <c r="C121" s="44" t="s">
        <v>721</v>
      </c>
      <c r="D121" s="44" t="s">
        <v>722</v>
      </c>
      <c r="E121" s="44" t="s">
        <v>728</v>
      </c>
      <c r="F121" s="44">
        <v>1038.0</v>
      </c>
      <c r="G121" s="44" t="str">
        <f t="array" ref="G121">IFERROR(XLOOKUP(F121,'Chart of Accounts'!$H$6:$H$67,'Chart of Accounts'!$I$6:$I$67),"GL not found")</f>
        <v>GL not found</v>
      </c>
      <c r="H121" s="47">
        <v>0.0</v>
      </c>
      <c r="I121" s="47">
        <v>6630000.0</v>
      </c>
      <c r="J121" s="44" t="s">
        <v>5</v>
      </c>
      <c r="K121" s="44" t="s">
        <v>277</v>
      </c>
      <c r="L121" s="44" t="s">
        <v>724</v>
      </c>
      <c r="M121" s="44" t="s">
        <v>721</v>
      </c>
    </row>
    <row r="122" ht="15.75" customHeight="1">
      <c r="A122" s="44" t="str">
        <f t="shared" ref="A122:A123" si="60">"JE-059"</f>
        <v>JE-059</v>
      </c>
      <c r="B122" s="46">
        <f>'Non-Bank Entries'!B3</f>
        <v>45869</v>
      </c>
      <c r="C122" s="44" t="str">
        <f t="shared" ref="C122:C135" si="61">"Non-Bank Adjustment"</f>
        <v>Non-Bank Adjustment</v>
      </c>
      <c r="D122" s="44" t="str">
        <f>'Non-Bank Entries'!A3</f>
        <v>NB-001</v>
      </c>
      <c r="E122" s="44" t="str">
        <f>'Non-Bank Entries'!C3</f>
        <v>Unpaid customer invoice - July services</v>
      </c>
      <c r="F122" s="44">
        <f>'Non-Bank Entries'!D3</f>
        <v>1018</v>
      </c>
      <c r="G122" s="44" t="str">
        <f>'Non-Bank Entries'!E3</f>
        <v>GL not found</v>
      </c>
      <c r="H122" s="47">
        <f>'Non-Bank Entries'!H3</f>
        <v>925000</v>
      </c>
      <c r="I122" s="47">
        <f>0</f>
        <v>0</v>
      </c>
      <c r="J122" s="44" t="str">
        <f>'Non-Bank Entries'!J3</f>
        <v>Truck It In (Private) Limited</v>
      </c>
      <c r="K122" s="44" t="str">
        <f>'Non-Bank Entries'!I3</f>
        <v>Output tax review</v>
      </c>
      <c r="L122" s="44" t="str">
        <f t="shared" ref="L122:L135" si="62">"Posted"</f>
        <v>Posted</v>
      </c>
      <c r="M122" s="44" t="str">
        <f t="shared" ref="M122:M135" si="63">"Non-cash"</f>
        <v>Non-cash</v>
      </c>
    </row>
    <row r="123" ht="15.75" customHeight="1">
      <c r="A123" s="44" t="str">
        <f t="shared" si="60"/>
        <v>JE-059</v>
      </c>
      <c r="B123" s="46">
        <f>'Non-Bank Entries'!B3</f>
        <v>45869</v>
      </c>
      <c r="C123" s="44" t="str">
        <f t="shared" si="61"/>
        <v>Non-Bank Adjustment</v>
      </c>
      <c r="D123" s="44" t="str">
        <f>'Non-Bank Entries'!A3</f>
        <v>NB-001</v>
      </c>
      <c r="E123" s="44" t="str">
        <f>'Non-Bank Entries'!C3</f>
        <v>Unpaid customer invoice - July services</v>
      </c>
      <c r="F123" s="44">
        <f>'Non-Bank Entries'!F3</f>
        <v>1050</v>
      </c>
      <c r="G123" s="44" t="str">
        <f>'Non-Bank Entries'!G3</f>
        <v>GL not found</v>
      </c>
      <c r="H123" s="47">
        <f>0</f>
        <v>0</v>
      </c>
      <c r="I123" s="47">
        <f>'Non-Bank Entries'!H3</f>
        <v>925000</v>
      </c>
      <c r="J123" s="44" t="str">
        <f>'Non-Bank Entries'!J3</f>
        <v>Truck It In (Private) Limited</v>
      </c>
      <c r="K123" s="44" t="str">
        <f>'Non-Bank Entries'!I3</f>
        <v>Output tax review</v>
      </c>
      <c r="L123" s="44" t="str">
        <f t="shared" si="62"/>
        <v>Posted</v>
      </c>
      <c r="M123" s="44" t="str">
        <f t="shared" si="63"/>
        <v>Non-cash</v>
      </c>
    </row>
    <row r="124" ht="15.75" customHeight="1">
      <c r="A124" s="44" t="str">
        <f t="shared" ref="A124:A125" si="64">"JE-060"</f>
        <v>JE-060</v>
      </c>
      <c r="B124" s="46">
        <f>'Non-Bank Entries'!B4</f>
        <v>45869</v>
      </c>
      <c r="C124" s="44" t="str">
        <f t="shared" si="61"/>
        <v>Non-Bank Adjustment</v>
      </c>
      <c r="D124" s="44" t="str">
        <f>'Non-Bank Entries'!A4</f>
        <v>NB-002</v>
      </c>
      <c r="E124" s="44" t="str">
        <f>'Non-Bank Entries'!C4</f>
        <v>Unpaid supplier bill - carrier services</v>
      </c>
      <c r="F124" s="44">
        <f>'Non-Bank Entries'!D4</f>
        <v>1054</v>
      </c>
      <c r="G124" s="44" t="str">
        <f>'Non-Bank Entries'!E4</f>
        <v>GL not found</v>
      </c>
      <c r="H124" s="47">
        <f>'Non-Bank Entries'!H4</f>
        <v>315000</v>
      </c>
      <c r="I124" s="47">
        <f>0</f>
        <v>0</v>
      </c>
      <c r="J124" s="44" t="str">
        <f>'Non-Bank Entries'!J4</f>
        <v>Truck It In (Private) Limited</v>
      </c>
      <c r="K124" s="44" t="str">
        <f>'Non-Bank Entries'!I4</f>
        <v>WHT review</v>
      </c>
      <c r="L124" s="44" t="str">
        <f t="shared" si="62"/>
        <v>Posted</v>
      </c>
      <c r="M124" s="44" t="str">
        <f t="shared" si="63"/>
        <v>Non-cash</v>
      </c>
    </row>
    <row r="125" ht="15.75" customHeight="1">
      <c r="A125" s="44" t="str">
        <f t="shared" si="64"/>
        <v>JE-060</v>
      </c>
      <c r="B125" s="46">
        <f>'Non-Bank Entries'!B4</f>
        <v>45869</v>
      </c>
      <c r="C125" s="44" t="str">
        <f t="shared" si="61"/>
        <v>Non-Bank Adjustment</v>
      </c>
      <c r="D125" s="44" t="str">
        <f>'Non-Bank Entries'!A4</f>
        <v>NB-002</v>
      </c>
      <c r="E125" s="44" t="str">
        <f>'Non-Bank Entries'!C4</f>
        <v>Unpaid supplier bill - carrier services</v>
      </c>
      <c r="F125" s="44">
        <f>'Non-Bank Entries'!F4</f>
        <v>1035</v>
      </c>
      <c r="G125" s="44" t="str">
        <f>'Non-Bank Entries'!G4</f>
        <v>GL not found</v>
      </c>
      <c r="H125" s="47">
        <f>0</f>
        <v>0</v>
      </c>
      <c r="I125" s="47">
        <f>'Non-Bank Entries'!H4</f>
        <v>315000</v>
      </c>
      <c r="J125" s="44" t="str">
        <f>'Non-Bank Entries'!J4</f>
        <v>Truck It In (Private) Limited</v>
      </c>
      <c r="K125" s="44" t="str">
        <f>'Non-Bank Entries'!I4</f>
        <v>WHT review</v>
      </c>
      <c r="L125" s="44" t="str">
        <f t="shared" si="62"/>
        <v>Posted</v>
      </c>
      <c r="M125" s="44" t="str">
        <f t="shared" si="63"/>
        <v>Non-cash</v>
      </c>
    </row>
    <row r="126" ht="15.75" customHeight="1">
      <c r="A126" s="44" t="str">
        <f t="shared" ref="A126:A127" si="65">"JE-061"</f>
        <v>JE-061</v>
      </c>
      <c r="B126" s="46">
        <f>'Non-Bank Entries'!B5</f>
        <v>45869</v>
      </c>
      <c r="C126" s="44" t="str">
        <f t="shared" si="61"/>
        <v>Non-Bank Adjustment</v>
      </c>
      <c r="D126" s="44" t="str">
        <f>'Non-Bank Entries'!A5</f>
        <v>NB-003</v>
      </c>
      <c r="E126" s="44" t="str">
        <f>'Non-Bank Entries'!C5</f>
        <v>Month-end utilities accrual</v>
      </c>
      <c r="F126" s="44">
        <f>'Non-Bank Entries'!D5</f>
        <v>1058</v>
      </c>
      <c r="G126" s="44" t="str">
        <f>'Non-Bank Entries'!E5</f>
        <v>GL not found</v>
      </c>
      <c r="H126" s="47">
        <f>'Non-Bank Entries'!H5</f>
        <v>85000</v>
      </c>
      <c r="I126" s="47">
        <f>0</f>
        <v>0</v>
      </c>
      <c r="J126" s="44" t="str">
        <f>'Non-Bank Entries'!J5</f>
        <v>Truck It In (Private) Limited</v>
      </c>
      <c r="K126" s="44" t="str">
        <f>'Non-Bank Entries'!I5</f>
        <v>Input tax review</v>
      </c>
      <c r="L126" s="44" t="str">
        <f t="shared" si="62"/>
        <v>Posted</v>
      </c>
      <c r="M126" s="44" t="str">
        <f t="shared" si="63"/>
        <v>Non-cash</v>
      </c>
    </row>
    <row r="127" ht="15.75" customHeight="1">
      <c r="A127" s="44" t="str">
        <f t="shared" si="65"/>
        <v>JE-061</v>
      </c>
      <c r="B127" s="46">
        <f>'Non-Bank Entries'!B5</f>
        <v>45869</v>
      </c>
      <c r="C127" s="44" t="str">
        <f t="shared" si="61"/>
        <v>Non-Bank Adjustment</v>
      </c>
      <c r="D127" s="44" t="str">
        <f>'Non-Bank Entries'!A5</f>
        <v>NB-003</v>
      </c>
      <c r="E127" s="44" t="str">
        <f>'Non-Bank Entries'!C5</f>
        <v>Month-end utilities accrual</v>
      </c>
      <c r="F127" s="44">
        <f>'Non-Bank Entries'!F5</f>
        <v>1035</v>
      </c>
      <c r="G127" s="44" t="str">
        <f>'Non-Bank Entries'!G5</f>
        <v>GL not found</v>
      </c>
      <c r="H127" s="47">
        <f>0</f>
        <v>0</v>
      </c>
      <c r="I127" s="47">
        <f>'Non-Bank Entries'!H5</f>
        <v>85000</v>
      </c>
      <c r="J127" s="44" t="str">
        <f>'Non-Bank Entries'!J5</f>
        <v>Truck It In (Private) Limited</v>
      </c>
      <c r="K127" s="44" t="str">
        <f>'Non-Bank Entries'!I5</f>
        <v>Input tax review</v>
      </c>
      <c r="L127" s="44" t="str">
        <f t="shared" si="62"/>
        <v>Posted</v>
      </c>
      <c r="M127" s="44" t="str">
        <f t="shared" si="63"/>
        <v>Non-cash</v>
      </c>
    </row>
    <row r="128" ht="15.75" customHeight="1">
      <c r="A128" s="44" t="str">
        <f t="shared" ref="A128:A129" si="66">"JE-062"</f>
        <v>JE-062</v>
      </c>
      <c r="B128" s="46">
        <f>'Non-Bank Entries'!B6</f>
        <v>45869</v>
      </c>
      <c r="C128" s="44" t="str">
        <f t="shared" si="61"/>
        <v>Non-Bank Adjustment</v>
      </c>
      <c r="D128" s="44" t="str">
        <f>'Non-Bank Entries'!A6</f>
        <v>NB-004</v>
      </c>
      <c r="E128" s="44" t="str">
        <f>'Non-Bank Entries'!C6</f>
        <v>One month insurance expense released from prepayment</v>
      </c>
      <c r="F128" s="44">
        <f>'Non-Bank Entries'!D6</f>
        <v>1068</v>
      </c>
      <c r="G128" s="44" t="str">
        <f>'Non-Bank Entries'!E6</f>
        <v>GL not found</v>
      </c>
      <c r="H128" s="47">
        <f>'Non-Bank Entries'!H6</f>
        <v>15000</v>
      </c>
      <c r="I128" s="47">
        <f>0</f>
        <v>0</v>
      </c>
      <c r="J128" s="44" t="str">
        <f>'Non-Bank Entries'!J6</f>
        <v>Truck It In (Private) Limited</v>
      </c>
      <c r="K128" s="44" t="str">
        <f>'Non-Bank Entries'!I6</f>
        <v>N/A</v>
      </c>
      <c r="L128" s="44" t="str">
        <f t="shared" si="62"/>
        <v>Posted</v>
      </c>
      <c r="M128" s="44" t="str">
        <f t="shared" si="63"/>
        <v>Non-cash</v>
      </c>
    </row>
    <row r="129" ht="15.75" customHeight="1">
      <c r="A129" s="44" t="str">
        <f t="shared" si="66"/>
        <v>JE-062</v>
      </c>
      <c r="B129" s="46">
        <f>'Non-Bank Entries'!B6</f>
        <v>45869</v>
      </c>
      <c r="C129" s="44" t="str">
        <f t="shared" si="61"/>
        <v>Non-Bank Adjustment</v>
      </c>
      <c r="D129" s="44" t="str">
        <f>'Non-Bank Entries'!A6</f>
        <v>NB-004</v>
      </c>
      <c r="E129" s="44" t="str">
        <f>'Non-Bank Entries'!C6</f>
        <v>One month insurance expense released from prepayment</v>
      </c>
      <c r="F129" s="44">
        <f>'Non-Bank Entries'!F6</f>
        <v>1026</v>
      </c>
      <c r="G129" s="44" t="str">
        <f>'Non-Bank Entries'!G6</f>
        <v>GL not found</v>
      </c>
      <c r="H129" s="47">
        <f>0</f>
        <v>0</v>
      </c>
      <c r="I129" s="47">
        <f>'Non-Bank Entries'!H6</f>
        <v>15000</v>
      </c>
      <c r="J129" s="44" t="str">
        <f>'Non-Bank Entries'!J6</f>
        <v>Truck It In (Private) Limited</v>
      </c>
      <c r="K129" s="44" t="str">
        <f>'Non-Bank Entries'!I6</f>
        <v>N/A</v>
      </c>
      <c r="L129" s="44" t="str">
        <f t="shared" si="62"/>
        <v>Posted</v>
      </c>
      <c r="M129" s="44" t="str">
        <f t="shared" si="63"/>
        <v>Non-cash</v>
      </c>
    </row>
    <row r="130" ht="15.75" customHeight="1">
      <c r="A130" s="44" t="str">
        <f t="shared" ref="A130:A131" si="67">"JE-063"</f>
        <v>JE-063</v>
      </c>
      <c r="B130" s="46">
        <f>'Non-Bank Entries'!B7</f>
        <v>45869</v>
      </c>
      <c r="C130" s="44" t="str">
        <f t="shared" si="61"/>
        <v>Non-Bank Adjustment</v>
      </c>
      <c r="D130" s="44" t="str">
        <f>'Non-Bank Entries'!A7</f>
        <v>NB-005</v>
      </c>
      <c r="E130" s="44" t="str">
        <f>'Non-Bank Entries'!C7</f>
        <v>Monthly depreciation on equipment</v>
      </c>
      <c r="F130" s="44">
        <f>'Non-Bank Entries'!D7</f>
        <v>1064</v>
      </c>
      <c r="G130" s="44" t="str">
        <f>'Non-Bank Entries'!E7</f>
        <v>GL not found</v>
      </c>
      <c r="H130" s="47">
        <f>'Non-Bank Entries'!H7</f>
        <v>120000</v>
      </c>
      <c r="I130" s="47">
        <f>0</f>
        <v>0</v>
      </c>
      <c r="J130" s="44" t="str">
        <f>'Non-Bank Entries'!J7</f>
        <v>Truck It In (Private) Limited</v>
      </c>
      <c r="K130" s="44" t="str">
        <f>'Non-Bank Entries'!I7</f>
        <v>N/A</v>
      </c>
      <c r="L130" s="44" t="str">
        <f t="shared" si="62"/>
        <v>Posted</v>
      </c>
      <c r="M130" s="44" t="str">
        <f t="shared" si="63"/>
        <v>Non-cash</v>
      </c>
    </row>
    <row r="131" ht="15.75" customHeight="1">
      <c r="A131" s="44" t="str">
        <f t="shared" si="67"/>
        <v>JE-063</v>
      </c>
      <c r="B131" s="46">
        <f>'Non-Bank Entries'!B7</f>
        <v>45869</v>
      </c>
      <c r="C131" s="44" t="str">
        <f t="shared" si="61"/>
        <v>Non-Bank Adjustment</v>
      </c>
      <c r="D131" s="44" t="str">
        <f>'Non-Bank Entries'!A7</f>
        <v>NB-005</v>
      </c>
      <c r="E131" s="44" t="str">
        <f>'Non-Bank Entries'!C7</f>
        <v>Monthly depreciation on equipment</v>
      </c>
      <c r="F131" s="44">
        <f>'Non-Bank Entries'!F7</f>
        <v>1017</v>
      </c>
      <c r="G131" s="44" t="str">
        <f>'Non-Bank Entries'!G7</f>
        <v>GL not found</v>
      </c>
      <c r="H131" s="47">
        <f>0</f>
        <v>0</v>
      </c>
      <c r="I131" s="47">
        <f>'Non-Bank Entries'!H7</f>
        <v>120000</v>
      </c>
      <c r="J131" s="44" t="str">
        <f>'Non-Bank Entries'!J7</f>
        <v>Truck It In (Private) Limited</v>
      </c>
      <c r="K131" s="44" t="str">
        <f>'Non-Bank Entries'!I7</f>
        <v>N/A</v>
      </c>
      <c r="L131" s="44" t="str">
        <f t="shared" si="62"/>
        <v>Posted</v>
      </c>
      <c r="M131" s="44" t="str">
        <f t="shared" si="63"/>
        <v>Non-cash</v>
      </c>
    </row>
    <row r="132" ht="15.75" customHeight="1">
      <c r="A132" s="44" t="str">
        <f t="shared" ref="A132:A133" si="68">"JE-064"</f>
        <v>JE-064</v>
      </c>
      <c r="B132" s="46">
        <f>'Non-Bank Entries'!B8</f>
        <v>45869</v>
      </c>
      <c r="C132" s="44" t="str">
        <f t="shared" si="61"/>
        <v>Non-Bank Adjustment</v>
      </c>
      <c r="D132" s="44" t="str">
        <f>'Non-Bank Entries'!A8</f>
        <v>NB-006</v>
      </c>
      <c r="E132" s="44" t="str">
        <f>'Non-Bank Entries'!C8</f>
        <v>Payroll expense accrued but unpaid</v>
      </c>
      <c r="F132" s="44">
        <f>'Non-Bank Entries'!D8</f>
        <v>1056</v>
      </c>
      <c r="G132" s="44" t="str">
        <f>'Non-Bank Entries'!E8</f>
        <v>GL not found</v>
      </c>
      <c r="H132" s="47">
        <f>'Non-Bank Entries'!H8</f>
        <v>290000</v>
      </c>
      <c r="I132" s="47">
        <f>0</f>
        <v>0</v>
      </c>
      <c r="J132" s="44" t="str">
        <f>'Non-Bank Entries'!J8</f>
        <v>Truck It In (Private) Limited</v>
      </c>
      <c r="K132" s="44" t="str">
        <f>'Non-Bank Entries'!I8</f>
        <v>Payroll</v>
      </c>
      <c r="L132" s="44" t="str">
        <f t="shared" si="62"/>
        <v>Posted</v>
      </c>
      <c r="M132" s="44" t="str">
        <f t="shared" si="63"/>
        <v>Non-cash</v>
      </c>
    </row>
    <row r="133" ht="15.75" customHeight="1">
      <c r="A133" s="44" t="str">
        <f t="shared" si="68"/>
        <v>JE-064</v>
      </c>
      <c r="B133" s="46">
        <f>'Non-Bank Entries'!B8</f>
        <v>45869</v>
      </c>
      <c r="C133" s="44" t="str">
        <f t="shared" si="61"/>
        <v>Non-Bank Adjustment</v>
      </c>
      <c r="D133" s="44" t="str">
        <f>'Non-Bank Entries'!A8</f>
        <v>NB-006</v>
      </c>
      <c r="E133" s="44" t="str">
        <f>'Non-Bank Entries'!C8</f>
        <v>Payroll expense accrued but unpaid</v>
      </c>
      <c r="F133" s="44">
        <f>'Non-Bank Entries'!F8</f>
        <v>1034</v>
      </c>
      <c r="G133" s="44" t="str">
        <f>'Non-Bank Entries'!G8</f>
        <v>GL not found</v>
      </c>
      <c r="H133" s="47">
        <f>0</f>
        <v>0</v>
      </c>
      <c r="I133" s="47">
        <f>'Non-Bank Entries'!H8</f>
        <v>290000</v>
      </c>
      <c r="J133" s="44" t="str">
        <f>'Non-Bank Entries'!J8</f>
        <v>Truck It In (Private) Limited</v>
      </c>
      <c r="K133" s="44" t="str">
        <f>'Non-Bank Entries'!I8</f>
        <v>Payroll</v>
      </c>
      <c r="L133" s="44" t="str">
        <f t="shared" si="62"/>
        <v>Posted</v>
      </c>
      <c r="M133" s="44" t="str">
        <f t="shared" si="63"/>
        <v>Non-cash</v>
      </c>
    </row>
    <row r="134" ht="15.75" customHeight="1">
      <c r="A134" s="44" t="str">
        <f t="shared" ref="A134:A135" si="69">"JE-065"</f>
        <v>JE-065</v>
      </c>
      <c r="B134" s="46">
        <f>'Non-Bank Entries'!B9</f>
        <v>45869</v>
      </c>
      <c r="C134" s="44" t="str">
        <f t="shared" si="61"/>
        <v>Non-Bank Adjustment</v>
      </c>
      <c r="D134" s="44" t="str">
        <f>'Non-Bank Entries'!A9</f>
        <v>NB-007</v>
      </c>
      <c r="E134" s="44" t="str">
        <f>'Non-Bank Entries'!C9</f>
        <v>Current income tax provision</v>
      </c>
      <c r="F134" s="44">
        <f>'Non-Bank Entries'!D9</f>
        <v>1048</v>
      </c>
      <c r="G134" s="44" t="str">
        <f>'Non-Bank Entries'!E9</f>
        <v>GL not found</v>
      </c>
      <c r="H134" s="47">
        <f>'Non-Bank Entries'!H9</f>
        <v>140000</v>
      </c>
      <c r="I134" s="47">
        <f>0</f>
        <v>0</v>
      </c>
      <c r="J134" s="44" t="str">
        <f>'Non-Bank Entries'!J9</f>
        <v>Truck It In (Private) Limited</v>
      </c>
      <c r="K134" s="44" t="str">
        <f>'Non-Bank Entries'!I9</f>
        <v>Current tax</v>
      </c>
      <c r="L134" s="44" t="str">
        <f t="shared" si="62"/>
        <v>Posted</v>
      </c>
      <c r="M134" s="44" t="str">
        <f t="shared" si="63"/>
        <v>Non-cash</v>
      </c>
    </row>
    <row r="135" ht="15.75" customHeight="1">
      <c r="A135" s="44" t="str">
        <f t="shared" si="69"/>
        <v>JE-065</v>
      </c>
      <c r="B135" s="46">
        <f>'Non-Bank Entries'!B9</f>
        <v>45869</v>
      </c>
      <c r="C135" s="44" t="str">
        <f t="shared" si="61"/>
        <v>Non-Bank Adjustment</v>
      </c>
      <c r="D135" s="44" t="str">
        <f>'Non-Bank Entries'!A9</f>
        <v>NB-007</v>
      </c>
      <c r="E135" s="44" t="str">
        <f>'Non-Bank Entries'!C9</f>
        <v>Current income tax provision</v>
      </c>
      <c r="F135" s="44">
        <f>'Non-Bank Entries'!F9</f>
        <v>1047</v>
      </c>
      <c r="G135" s="44" t="str">
        <f>'Non-Bank Entries'!G9</f>
        <v>GL not found</v>
      </c>
      <c r="H135" s="47">
        <f>0</f>
        <v>0</v>
      </c>
      <c r="I135" s="47">
        <f>'Non-Bank Entries'!H9</f>
        <v>140000</v>
      </c>
      <c r="J135" s="44" t="str">
        <f>'Non-Bank Entries'!J9</f>
        <v>Truck It In (Private) Limited</v>
      </c>
      <c r="K135" s="44" t="str">
        <f>'Non-Bank Entries'!I9</f>
        <v>Current tax</v>
      </c>
      <c r="L135" s="44" t="str">
        <f t="shared" si="62"/>
        <v>Posted</v>
      </c>
      <c r="M135" s="44" t="str">
        <f t="shared" si="63"/>
        <v>Non-cash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0.0"/>
    <col customWidth="1" min="4" max="4" width="12.0"/>
    <col customWidth="1" min="5" max="5" width="31.0"/>
    <col customWidth="1" min="6" max="6" width="48.0"/>
    <col customWidth="1" min="7" max="11" width="16.0"/>
  </cols>
  <sheetData>
    <row r="1" ht="30.0" customHeight="1">
      <c r="A1" s="1" t="s">
        <v>60</v>
      </c>
    </row>
    <row r="2">
      <c r="A2" s="34" t="s">
        <v>235</v>
      </c>
      <c r="B2" s="35" t="s">
        <v>284</v>
      </c>
      <c r="C2" s="35" t="s">
        <v>43</v>
      </c>
      <c r="D2" s="35" t="s">
        <v>290</v>
      </c>
      <c r="E2" s="35" t="s">
        <v>292</v>
      </c>
      <c r="F2" s="35" t="s">
        <v>41</v>
      </c>
      <c r="G2" s="35" t="s">
        <v>121</v>
      </c>
      <c r="H2" s="35" t="s">
        <v>125</v>
      </c>
      <c r="I2" s="35" t="s">
        <v>397</v>
      </c>
      <c r="J2" s="35" t="s">
        <v>398</v>
      </c>
      <c r="K2" s="36" t="s">
        <v>249</v>
      </c>
    </row>
    <row r="3">
      <c r="A3" s="46">
        <f>'Journal Entries'!B3</f>
        <v>45839</v>
      </c>
      <c r="B3" s="44" t="str">
        <f>'Journal Entries'!A3</f>
        <v>JE-001</v>
      </c>
      <c r="C3" s="44" t="str">
        <f>'Journal Entries'!D3</f>
        <v>HBL250701001</v>
      </c>
      <c r="D3" s="44">
        <f>'Journal Entries'!F3</f>
        <v>1029</v>
      </c>
      <c r="E3" s="44" t="str">
        <f>'Journal Entries'!G3</f>
        <v>GL not found</v>
      </c>
      <c r="F3" s="44" t="str">
        <f>'Journal Entries'!E3</f>
        <v>IBFT CR - Daraz Pakistan settlement INV-DZ-250701</v>
      </c>
      <c r="G3" s="47">
        <f>'Journal Entries'!H3</f>
        <v>685000</v>
      </c>
      <c r="H3" s="47">
        <f>'Journal Entries'!I3</f>
        <v>0</v>
      </c>
      <c r="I3" s="47">
        <f t="shared" ref="I3:I135" si="1">G3-H3</f>
        <v>685000</v>
      </c>
      <c r="J3" s="47">
        <f t="shared" ref="J3:J135" si="2">SUMIFS($I$3:I3,$D$3:D3,D3)</f>
        <v>685000</v>
      </c>
      <c r="K3" s="44" t="str">
        <f>'Journal Entries'!L3</f>
        <v>Posted</v>
      </c>
    </row>
    <row r="4">
      <c r="A4" s="46">
        <f>'Journal Entries'!B4</f>
        <v>45839</v>
      </c>
      <c r="B4" s="44" t="str">
        <f>'Journal Entries'!A4</f>
        <v>JE-001</v>
      </c>
      <c r="C4" s="44" t="str">
        <f>'Journal Entries'!D4</f>
        <v>HBL250701001</v>
      </c>
      <c r="D4" s="44">
        <f>'Journal Entries'!F4</f>
        <v>1018</v>
      </c>
      <c r="E4" s="44" t="str">
        <f>'Journal Entries'!G4</f>
        <v>GL not found</v>
      </c>
      <c r="F4" s="44" t="str">
        <f>'Journal Entries'!E4</f>
        <v>IBFT CR - Daraz Pakistan settlement INV-DZ-250701</v>
      </c>
      <c r="G4" s="47">
        <f>'Journal Entries'!H4</f>
        <v>0</v>
      </c>
      <c r="H4" s="47">
        <f>'Journal Entries'!I4</f>
        <v>685000</v>
      </c>
      <c r="I4" s="47">
        <f t="shared" si="1"/>
        <v>-685000</v>
      </c>
      <c r="J4" s="47">
        <f t="shared" si="2"/>
        <v>-685000</v>
      </c>
      <c r="K4" s="44" t="str">
        <f>'Journal Entries'!L4</f>
        <v>Posted</v>
      </c>
    </row>
    <row r="5">
      <c r="A5" s="46">
        <f>'Journal Entries'!B5</f>
        <v>45839</v>
      </c>
      <c r="B5" s="44" t="str">
        <f>'Journal Entries'!A5</f>
        <v>JE-002</v>
      </c>
      <c r="C5" s="44" t="str">
        <f>'Journal Entries'!D5</f>
        <v>HBL250701002</v>
      </c>
      <c r="D5" s="44">
        <f>'Journal Entries'!F5</f>
        <v>1029</v>
      </c>
      <c r="E5" s="44" t="str">
        <f>'Journal Entries'!G5</f>
        <v>GL not found</v>
      </c>
      <c r="F5" s="44" t="str">
        <f>'Journal Entries'!E5</f>
        <v>Online transfer - Office rent July - Blue Area Properties</v>
      </c>
      <c r="G5" s="47">
        <f>'Journal Entries'!H5</f>
        <v>0</v>
      </c>
      <c r="H5" s="47">
        <f>'Journal Entries'!I5</f>
        <v>275000</v>
      </c>
      <c r="I5" s="47">
        <f t="shared" si="1"/>
        <v>-275000</v>
      </c>
      <c r="J5" s="47">
        <f t="shared" si="2"/>
        <v>410000</v>
      </c>
      <c r="K5" s="44" t="str">
        <f>'Journal Entries'!L5</f>
        <v>Posted</v>
      </c>
    </row>
    <row r="6">
      <c r="A6" s="46">
        <f>'Journal Entries'!B6</f>
        <v>45839</v>
      </c>
      <c r="B6" s="44" t="str">
        <f>'Journal Entries'!A6</f>
        <v>JE-002</v>
      </c>
      <c r="C6" s="44" t="str">
        <f>'Journal Entries'!D6</f>
        <v>HBL250701002</v>
      </c>
      <c r="D6" s="44">
        <f>'Journal Entries'!F6</f>
        <v>1058</v>
      </c>
      <c r="E6" s="44" t="str">
        <f>'Journal Entries'!G6</f>
        <v>GL not found</v>
      </c>
      <c r="F6" s="44" t="str">
        <f>'Journal Entries'!E6</f>
        <v>Online transfer - Office rent July - Blue Area Properties</v>
      </c>
      <c r="G6" s="47">
        <f>'Journal Entries'!H6</f>
        <v>275000</v>
      </c>
      <c r="H6" s="47">
        <f>'Journal Entries'!I6</f>
        <v>0</v>
      </c>
      <c r="I6" s="47">
        <f t="shared" si="1"/>
        <v>275000</v>
      </c>
      <c r="J6" s="47">
        <f t="shared" si="2"/>
        <v>275000</v>
      </c>
      <c r="K6" s="44" t="str">
        <f>'Journal Entries'!L6</f>
        <v>Posted</v>
      </c>
    </row>
    <row r="7">
      <c r="A7" s="46">
        <f>'Journal Entries'!B7</f>
        <v>45840</v>
      </c>
      <c r="B7" s="44" t="str">
        <f>'Journal Entries'!A7</f>
        <v>JE-003</v>
      </c>
      <c r="C7" s="44" t="str">
        <f>'Journal Entries'!D7</f>
        <v>HBL250702003</v>
      </c>
      <c r="D7" s="44">
        <f>'Journal Entries'!F7</f>
        <v>1029</v>
      </c>
      <c r="E7" s="44" t="str">
        <f>'Journal Entries'!G7</f>
        <v>GL not found</v>
      </c>
      <c r="F7" s="44" t="str">
        <f>'Journal Entries'!E7</f>
        <v>Raast CR - Onic distribution collection Batch 0702</v>
      </c>
      <c r="G7" s="47">
        <f>'Journal Entries'!H7</f>
        <v>412500</v>
      </c>
      <c r="H7" s="47">
        <f>'Journal Entries'!I7</f>
        <v>0</v>
      </c>
      <c r="I7" s="47">
        <f t="shared" si="1"/>
        <v>412500</v>
      </c>
      <c r="J7" s="47">
        <f t="shared" si="2"/>
        <v>822500</v>
      </c>
      <c r="K7" s="44" t="str">
        <f>'Journal Entries'!L7</f>
        <v>Posted</v>
      </c>
    </row>
    <row r="8">
      <c r="A8" s="46">
        <f>'Journal Entries'!B8</f>
        <v>45840</v>
      </c>
      <c r="B8" s="44" t="str">
        <f>'Journal Entries'!A8</f>
        <v>JE-003</v>
      </c>
      <c r="C8" s="44" t="str">
        <f>'Journal Entries'!D8</f>
        <v>HBL250702003</v>
      </c>
      <c r="D8" s="44">
        <f>'Journal Entries'!F8</f>
        <v>1018</v>
      </c>
      <c r="E8" s="44" t="str">
        <f>'Journal Entries'!G8</f>
        <v>GL not found</v>
      </c>
      <c r="F8" s="44" t="str">
        <f>'Journal Entries'!E8</f>
        <v>Raast CR - Onic distribution collection Batch 0702</v>
      </c>
      <c r="G8" s="47">
        <f>'Journal Entries'!H8</f>
        <v>0</v>
      </c>
      <c r="H8" s="47">
        <f>'Journal Entries'!I8</f>
        <v>412500</v>
      </c>
      <c r="I8" s="47">
        <f t="shared" si="1"/>
        <v>-412500</v>
      </c>
      <c r="J8" s="47">
        <f t="shared" si="2"/>
        <v>-1097500</v>
      </c>
      <c r="K8" s="44" t="str">
        <f>'Journal Entries'!L8</f>
        <v>Posted</v>
      </c>
    </row>
    <row r="9">
      <c r="A9" s="46">
        <f>'Journal Entries'!B9</f>
        <v>45840</v>
      </c>
      <c r="B9" s="44" t="str">
        <f>'Journal Entries'!A9</f>
        <v>JE-004</v>
      </c>
      <c r="C9" s="44" t="str">
        <f>'Journal Entries'!D9</f>
        <v>HBL250702004</v>
      </c>
      <c r="D9" s="44">
        <f>'Journal Entries'!F9</f>
        <v>1029</v>
      </c>
      <c r="E9" s="44" t="str">
        <f>'Journal Entries'!G9</f>
        <v>GL not found</v>
      </c>
      <c r="F9" s="44" t="str">
        <f>'Journal Entries'!E9</f>
        <v>POS 7712 - Shell F-8 Islamabad</v>
      </c>
      <c r="G9" s="47">
        <f>'Journal Entries'!H9</f>
        <v>0</v>
      </c>
      <c r="H9" s="47">
        <f>'Journal Entries'!I9</f>
        <v>18450</v>
      </c>
      <c r="I9" s="47">
        <f t="shared" si="1"/>
        <v>-18450</v>
      </c>
      <c r="J9" s="47">
        <f t="shared" si="2"/>
        <v>804050</v>
      </c>
      <c r="K9" s="44" t="str">
        <f>'Journal Entries'!L9</f>
        <v>Posted</v>
      </c>
    </row>
    <row r="10">
      <c r="A10" s="46">
        <f>'Journal Entries'!B10</f>
        <v>45840</v>
      </c>
      <c r="B10" s="44" t="str">
        <f>'Journal Entries'!A10</f>
        <v>JE-004</v>
      </c>
      <c r="C10" s="44" t="str">
        <f>'Journal Entries'!D10</f>
        <v>HBL250702004</v>
      </c>
      <c r="D10" s="44">
        <f>'Journal Entries'!F10</f>
        <v>1055</v>
      </c>
      <c r="E10" s="44" t="str">
        <f>'Journal Entries'!G10</f>
        <v>GL not found</v>
      </c>
      <c r="F10" s="44" t="str">
        <f>'Journal Entries'!E10</f>
        <v>POS 7712 - Shell F-8 Islamabad</v>
      </c>
      <c r="G10" s="47">
        <f>'Journal Entries'!H10</f>
        <v>18450</v>
      </c>
      <c r="H10" s="47">
        <f>'Journal Entries'!I10</f>
        <v>0</v>
      </c>
      <c r="I10" s="47">
        <f t="shared" si="1"/>
        <v>18450</v>
      </c>
      <c r="J10" s="47">
        <f t="shared" si="2"/>
        <v>18450</v>
      </c>
      <c r="K10" s="44" t="str">
        <f>'Journal Entries'!L10</f>
        <v>Posted</v>
      </c>
    </row>
    <row r="11">
      <c r="A11" s="46">
        <f>'Journal Entries'!B11</f>
        <v>45841</v>
      </c>
      <c r="B11" s="44" t="str">
        <f>'Journal Entries'!A11</f>
        <v>JE-005</v>
      </c>
      <c r="C11" s="44" t="str">
        <f>'Journal Entries'!D11</f>
        <v>CHQ104583</v>
      </c>
      <c r="D11" s="44">
        <f>'Journal Entries'!F11</f>
        <v>1029</v>
      </c>
      <c r="E11" s="44" t="str">
        <f>'Journal Entries'!G11</f>
        <v>GL not found</v>
      </c>
      <c r="F11" s="44" t="str">
        <f>'Journal Entries'!E11</f>
        <v>Cheque 104583 - Pak Cargo Fleet Services</v>
      </c>
      <c r="G11" s="47">
        <f>'Journal Entries'!H11</f>
        <v>0</v>
      </c>
      <c r="H11" s="47">
        <f>'Journal Entries'!I11</f>
        <v>335000</v>
      </c>
      <c r="I11" s="47">
        <f t="shared" si="1"/>
        <v>-335000</v>
      </c>
      <c r="J11" s="47">
        <f t="shared" si="2"/>
        <v>469050</v>
      </c>
      <c r="K11" s="44" t="str">
        <f>'Journal Entries'!L11</f>
        <v>Posted</v>
      </c>
    </row>
    <row r="12">
      <c r="A12" s="46">
        <f>'Journal Entries'!B12</f>
        <v>45841</v>
      </c>
      <c r="B12" s="44" t="str">
        <f>'Journal Entries'!A12</f>
        <v>JE-005</v>
      </c>
      <c r="C12" s="44" t="str">
        <f>'Journal Entries'!D12</f>
        <v>CHQ104583</v>
      </c>
      <c r="D12" s="44">
        <f>'Journal Entries'!F12</f>
        <v>1054</v>
      </c>
      <c r="E12" s="44" t="str">
        <f>'Journal Entries'!G12</f>
        <v>GL not found</v>
      </c>
      <c r="F12" s="44" t="str">
        <f>'Journal Entries'!E12</f>
        <v>Cheque 104583 - Pak Cargo Fleet Services</v>
      </c>
      <c r="G12" s="47">
        <f>'Journal Entries'!H12</f>
        <v>335000</v>
      </c>
      <c r="H12" s="47">
        <f>'Journal Entries'!I12</f>
        <v>0</v>
      </c>
      <c r="I12" s="47">
        <f t="shared" si="1"/>
        <v>335000</v>
      </c>
      <c r="J12" s="47">
        <f t="shared" si="2"/>
        <v>335000</v>
      </c>
      <c r="K12" s="44" t="str">
        <f>'Journal Entries'!L12</f>
        <v>Posted</v>
      </c>
    </row>
    <row r="13">
      <c r="A13" s="46">
        <f>'Journal Entries'!B13</f>
        <v>45841</v>
      </c>
      <c r="B13" s="44" t="str">
        <f>'Journal Entries'!A13</f>
        <v>JE-006</v>
      </c>
      <c r="C13" s="44" t="str">
        <f>'Journal Entries'!D13</f>
        <v>WHT104583</v>
      </c>
      <c r="D13" s="44">
        <f>'Journal Entries'!F13</f>
        <v>1029</v>
      </c>
      <c r="E13" s="44" t="str">
        <f>'Journal Entries'!G13</f>
        <v>GL not found</v>
      </c>
      <c r="F13" s="44" t="str">
        <f>'Journal Entries'!E13</f>
        <v>Withholding tax on cheque 104583</v>
      </c>
      <c r="G13" s="47">
        <f>'Journal Entries'!H13</f>
        <v>0</v>
      </c>
      <c r="H13" s="47">
        <f>'Journal Entries'!I13</f>
        <v>3350</v>
      </c>
      <c r="I13" s="47">
        <f t="shared" si="1"/>
        <v>-3350</v>
      </c>
      <c r="J13" s="47">
        <f t="shared" si="2"/>
        <v>465700</v>
      </c>
      <c r="K13" s="44" t="str">
        <f>'Journal Entries'!L13</f>
        <v>Posted</v>
      </c>
    </row>
    <row r="14">
      <c r="A14" s="46">
        <f>'Journal Entries'!B14</f>
        <v>45841</v>
      </c>
      <c r="B14" s="44" t="str">
        <f>'Journal Entries'!A14</f>
        <v>JE-006</v>
      </c>
      <c r="C14" s="44" t="str">
        <f>'Journal Entries'!D14</f>
        <v>WHT104583</v>
      </c>
      <c r="D14" s="44">
        <f>'Journal Entries'!F14</f>
        <v>1036</v>
      </c>
      <c r="E14" s="44" t="str">
        <f>'Journal Entries'!G14</f>
        <v>GL not found</v>
      </c>
      <c r="F14" s="44" t="str">
        <f>'Journal Entries'!E14</f>
        <v>Withholding tax on cheque 104583</v>
      </c>
      <c r="G14" s="47">
        <f>'Journal Entries'!H14</f>
        <v>3350</v>
      </c>
      <c r="H14" s="47">
        <f>'Journal Entries'!I14</f>
        <v>0</v>
      </c>
      <c r="I14" s="47">
        <f t="shared" si="1"/>
        <v>3350</v>
      </c>
      <c r="J14" s="47">
        <f t="shared" si="2"/>
        <v>3350</v>
      </c>
      <c r="K14" s="44" t="str">
        <f>'Journal Entries'!L14</f>
        <v>Posted</v>
      </c>
    </row>
    <row r="15">
      <c r="A15" s="46">
        <f>'Journal Entries'!B15</f>
        <v>45842</v>
      </c>
      <c r="B15" s="44" t="str">
        <f>'Journal Entries'!A15</f>
        <v>JE-007</v>
      </c>
      <c r="C15" s="44" t="str">
        <f>'Journal Entries'!D15</f>
        <v>HBL250704007</v>
      </c>
      <c r="D15" s="44">
        <f>'Journal Entries'!F15</f>
        <v>1029</v>
      </c>
      <c r="E15" s="44" t="str">
        <f>'Journal Entries'!G15</f>
        <v>GL not found</v>
      </c>
      <c r="F15" s="44" t="str">
        <f>'Journal Entries'!E15</f>
        <v>IBFT CR - Sapphire merchant COD settlement</v>
      </c>
      <c r="G15" s="47">
        <f>'Journal Entries'!H15</f>
        <v>298750</v>
      </c>
      <c r="H15" s="47">
        <f>'Journal Entries'!I15</f>
        <v>0</v>
      </c>
      <c r="I15" s="47">
        <f t="shared" si="1"/>
        <v>298750</v>
      </c>
      <c r="J15" s="47">
        <f t="shared" si="2"/>
        <v>764450</v>
      </c>
      <c r="K15" s="44" t="str">
        <f>'Journal Entries'!L15</f>
        <v>Posted</v>
      </c>
    </row>
    <row r="16">
      <c r="A16" s="46">
        <f>'Journal Entries'!B16</f>
        <v>45842</v>
      </c>
      <c r="B16" s="44" t="str">
        <f>'Journal Entries'!A16</f>
        <v>JE-007</v>
      </c>
      <c r="C16" s="44" t="str">
        <f>'Journal Entries'!D16</f>
        <v>HBL250704007</v>
      </c>
      <c r="D16" s="44">
        <f>'Journal Entries'!F16</f>
        <v>1018</v>
      </c>
      <c r="E16" s="44" t="str">
        <f>'Journal Entries'!G16</f>
        <v>GL not found</v>
      </c>
      <c r="F16" s="44" t="str">
        <f>'Journal Entries'!E16</f>
        <v>IBFT CR - Sapphire merchant COD settlement</v>
      </c>
      <c r="G16" s="47">
        <f>'Journal Entries'!H16</f>
        <v>0</v>
      </c>
      <c r="H16" s="47">
        <f>'Journal Entries'!I16</f>
        <v>298750</v>
      </c>
      <c r="I16" s="47">
        <f t="shared" si="1"/>
        <v>-298750</v>
      </c>
      <c r="J16" s="47">
        <f t="shared" si="2"/>
        <v>-1396250</v>
      </c>
      <c r="K16" s="44" t="str">
        <f>'Journal Entries'!L16</f>
        <v>Posted</v>
      </c>
    </row>
    <row r="17">
      <c r="A17" s="46">
        <f>'Journal Entries'!B17</f>
        <v>45842</v>
      </c>
      <c r="B17" s="44" t="str">
        <f>'Journal Entries'!A17</f>
        <v>JE-008</v>
      </c>
      <c r="C17" s="44" t="str">
        <f>'Journal Entries'!D17</f>
        <v>HBL250704008</v>
      </c>
      <c r="D17" s="44">
        <f>'Journal Entries'!F17</f>
        <v>1029</v>
      </c>
      <c r="E17" s="44" t="str">
        <f>'Journal Entries'!G17</f>
        <v>GL not found</v>
      </c>
      <c r="F17" s="44" t="str">
        <f>'Journal Entries'!E17</f>
        <v>Online payment - PTCL corporate internet June</v>
      </c>
      <c r="G17" s="47">
        <f>'Journal Entries'!H17</f>
        <v>0</v>
      </c>
      <c r="H17" s="47">
        <f>'Journal Entries'!I17</f>
        <v>42800</v>
      </c>
      <c r="I17" s="47">
        <f t="shared" si="1"/>
        <v>-42800</v>
      </c>
      <c r="J17" s="47">
        <f t="shared" si="2"/>
        <v>721650</v>
      </c>
      <c r="K17" s="44" t="str">
        <f>'Journal Entries'!L17</f>
        <v>Posted</v>
      </c>
    </row>
    <row r="18">
      <c r="A18" s="46">
        <f>'Journal Entries'!B18</f>
        <v>45842</v>
      </c>
      <c r="B18" s="44" t="str">
        <f>'Journal Entries'!A18</f>
        <v>JE-008</v>
      </c>
      <c r="C18" s="44" t="str">
        <f>'Journal Entries'!D18</f>
        <v>HBL250704008</v>
      </c>
      <c r="D18" s="44">
        <f>'Journal Entries'!F18</f>
        <v>1058</v>
      </c>
      <c r="E18" s="44" t="str">
        <f>'Journal Entries'!G18</f>
        <v>GL not found</v>
      </c>
      <c r="F18" s="44" t="str">
        <f>'Journal Entries'!E18</f>
        <v>Online payment - PTCL corporate internet June</v>
      </c>
      <c r="G18" s="47">
        <f>'Journal Entries'!H18</f>
        <v>42800</v>
      </c>
      <c r="H18" s="47">
        <f>'Journal Entries'!I18</f>
        <v>0</v>
      </c>
      <c r="I18" s="47">
        <f t="shared" si="1"/>
        <v>42800</v>
      </c>
      <c r="J18" s="47">
        <f t="shared" si="2"/>
        <v>317800</v>
      </c>
      <c r="K18" s="44" t="str">
        <f>'Journal Entries'!L18</f>
        <v>Posted</v>
      </c>
    </row>
    <row r="19">
      <c r="A19" s="46">
        <f>'Journal Entries'!B19</f>
        <v>45843</v>
      </c>
      <c r="B19" s="44" t="str">
        <f>'Journal Entries'!A19</f>
        <v>JE-009</v>
      </c>
      <c r="C19" s="44" t="str">
        <f>'Journal Entries'!D19</f>
        <v>ATM250705</v>
      </c>
      <c r="D19" s="44">
        <f>'Journal Entries'!F19</f>
        <v>1029</v>
      </c>
      <c r="E19" s="44" t="str">
        <f>'Journal Entries'!G19</f>
        <v>GL not found</v>
      </c>
      <c r="F19" s="44" t="str">
        <f>'Journal Entries'!E19</f>
        <v>ATM cash withdrawal - HBL Blue Area</v>
      </c>
      <c r="G19" s="47">
        <f>'Journal Entries'!H19</f>
        <v>0</v>
      </c>
      <c r="H19" s="47">
        <f>'Journal Entries'!I19</f>
        <v>50000</v>
      </c>
      <c r="I19" s="47">
        <f t="shared" si="1"/>
        <v>-50000</v>
      </c>
      <c r="J19" s="47">
        <f t="shared" si="2"/>
        <v>671650</v>
      </c>
      <c r="K19" s="44" t="str">
        <f>'Journal Entries'!L19</f>
        <v>Posted</v>
      </c>
    </row>
    <row r="20">
      <c r="A20" s="46">
        <f>'Journal Entries'!B20</f>
        <v>45843</v>
      </c>
      <c r="B20" s="44" t="str">
        <f>'Journal Entries'!A20</f>
        <v>JE-009</v>
      </c>
      <c r="C20" s="44" t="str">
        <f>'Journal Entries'!D20</f>
        <v>ATM250705</v>
      </c>
      <c r="D20" s="44">
        <f>'Journal Entries'!F20</f>
        <v>1068</v>
      </c>
      <c r="E20" s="44" t="str">
        <f>'Journal Entries'!G20</f>
        <v>GL not found</v>
      </c>
      <c r="F20" s="44" t="str">
        <f>'Journal Entries'!E20</f>
        <v>ATM cash withdrawal - HBL Blue Area</v>
      </c>
      <c r="G20" s="47">
        <f>'Journal Entries'!H20</f>
        <v>50000</v>
      </c>
      <c r="H20" s="47">
        <f>'Journal Entries'!I20</f>
        <v>0</v>
      </c>
      <c r="I20" s="47">
        <f t="shared" si="1"/>
        <v>50000</v>
      </c>
      <c r="J20" s="47">
        <f t="shared" si="2"/>
        <v>50000</v>
      </c>
      <c r="K20" s="44" t="str">
        <f>'Journal Entries'!L20</f>
        <v>Posted</v>
      </c>
    </row>
    <row r="21" ht="15.75" customHeight="1">
      <c r="A21" s="46">
        <f>'Journal Entries'!B21</f>
        <v>45845</v>
      </c>
      <c r="B21" s="44" t="str">
        <f>'Journal Entries'!A21</f>
        <v>JE-010</v>
      </c>
      <c r="C21" s="44" t="str">
        <f>'Journal Entries'!D21</f>
        <v>HBL250707011</v>
      </c>
      <c r="D21" s="44">
        <f>'Journal Entries'!F21</f>
        <v>1029</v>
      </c>
      <c r="E21" s="44" t="str">
        <f>'Journal Entries'!G21</f>
        <v>GL not found</v>
      </c>
      <c r="F21" s="44" t="str">
        <f>'Journal Entries'!E21</f>
        <v>Transfer to Meezan Bank payroll account</v>
      </c>
      <c r="G21" s="47">
        <f>'Journal Entries'!H21</f>
        <v>0</v>
      </c>
      <c r="H21" s="47">
        <f>'Journal Entries'!I21</f>
        <v>850000</v>
      </c>
      <c r="I21" s="47">
        <f t="shared" si="1"/>
        <v>-850000</v>
      </c>
      <c r="J21" s="47">
        <f t="shared" si="2"/>
        <v>-178350</v>
      </c>
      <c r="K21" s="44" t="str">
        <f>'Journal Entries'!L21</f>
        <v>Posted</v>
      </c>
    </row>
    <row r="22" ht="15.75" customHeight="1">
      <c r="A22" s="46">
        <f>'Journal Entries'!B22</f>
        <v>45845</v>
      </c>
      <c r="B22" s="44" t="str">
        <f>'Journal Entries'!A22</f>
        <v>JE-010</v>
      </c>
      <c r="C22" s="44" t="str">
        <f>'Journal Entries'!D22</f>
        <v>HBL250707011</v>
      </c>
      <c r="D22" s="44">
        <f>'Journal Entries'!F22</f>
        <v>1030</v>
      </c>
      <c r="E22" s="44" t="str">
        <f>'Journal Entries'!G22</f>
        <v>GL not found</v>
      </c>
      <c r="F22" s="44" t="str">
        <f>'Journal Entries'!E22</f>
        <v>Transfer to Meezan Bank payroll account</v>
      </c>
      <c r="G22" s="47">
        <f>'Journal Entries'!H22</f>
        <v>850000</v>
      </c>
      <c r="H22" s="47">
        <f>'Journal Entries'!I22</f>
        <v>0</v>
      </c>
      <c r="I22" s="47">
        <f t="shared" si="1"/>
        <v>850000</v>
      </c>
      <c r="J22" s="47">
        <f t="shared" si="2"/>
        <v>850000</v>
      </c>
      <c r="K22" s="44" t="str">
        <f>'Journal Entries'!L22</f>
        <v>Posted</v>
      </c>
    </row>
    <row r="23" ht="15.75" customHeight="1">
      <c r="A23" s="46">
        <f>'Journal Entries'!B23</f>
        <v>45846</v>
      </c>
      <c r="B23" s="44" t="str">
        <f>'Journal Entries'!A23</f>
        <v>JE-011</v>
      </c>
      <c r="C23" s="44" t="str">
        <f>'Journal Entries'!D23</f>
        <v>HBL250708012</v>
      </c>
      <c r="D23" s="44">
        <f>'Journal Entries'!F23</f>
        <v>1029</v>
      </c>
      <c r="E23" s="44" t="str">
        <f>'Journal Entries'!G23</f>
        <v>GL not found</v>
      </c>
      <c r="F23" s="44" t="str">
        <f>'Journal Entries'!E23</f>
        <v>IBFT CR - Merchant advance repayment - Saeed Ghani</v>
      </c>
      <c r="G23" s="47">
        <f>'Journal Entries'!H23</f>
        <v>175000</v>
      </c>
      <c r="H23" s="47">
        <f>'Journal Entries'!I23</f>
        <v>0</v>
      </c>
      <c r="I23" s="47">
        <f t="shared" si="1"/>
        <v>175000</v>
      </c>
      <c r="J23" s="47">
        <f t="shared" si="2"/>
        <v>-3350</v>
      </c>
      <c r="K23" s="44" t="str">
        <f>'Journal Entries'!L23</f>
        <v>Posted</v>
      </c>
    </row>
    <row r="24" ht="15.75" customHeight="1">
      <c r="A24" s="46">
        <f>'Journal Entries'!B24</f>
        <v>45846</v>
      </c>
      <c r="B24" s="44" t="str">
        <f>'Journal Entries'!A24</f>
        <v>JE-011</v>
      </c>
      <c r="C24" s="44" t="str">
        <f>'Journal Entries'!D24</f>
        <v>HBL250708012</v>
      </c>
      <c r="D24" s="44">
        <f>'Journal Entries'!F24</f>
        <v>1018</v>
      </c>
      <c r="E24" s="44" t="str">
        <f>'Journal Entries'!G24</f>
        <v>GL not found</v>
      </c>
      <c r="F24" s="44" t="str">
        <f>'Journal Entries'!E24</f>
        <v>IBFT CR - Merchant advance repayment - Saeed Ghani</v>
      </c>
      <c r="G24" s="47">
        <f>'Journal Entries'!H24</f>
        <v>0</v>
      </c>
      <c r="H24" s="47">
        <f>'Journal Entries'!I24</f>
        <v>175000</v>
      </c>
      <c r="I24" s="47">
        <f t="shared" si="1"/>
        <v>-175000</v>
      </c>
      <c r="J24" s="47">
        <f t="shared" si="2"/>
        <v>-1571250</v>
      </c>
      <c r="K24" s="44" t="str">
        <f>'Journal Entries'!L24</f>
        <v>Posted</v>
      </c>
    </row>
    <row r="25" ht="15.75" customHeight="1">
      <c r="A25" s="46">
        <f>'Journal Entries'!B25</f>
        <v>45846</v>
      </c>
      <c r="B25" s="44" t="str">
        <f>'Journal Entries'!A25</f>
        <v>JE-012</v>
      </c>
      <c r="C25" s="44" t="str">
        <f>'Journal Entries'!D25</f>
        <v>HBL250708013</v>
      </c>
      <c r="D25" s="44">
        <f>'Journal Entries'!F25</f>
        <v>1029</v>
      </c>
      <c r="E25" s="44" t="str">
        <f>'Journal Entries'!G25</f>
        <v>GL not found</v>
      </c>
      <c r="F25" s="44" t="str">
        <f>'Journal Entries'!E25</f>
        <v>Online transfer - Vehicle maintenance - Toyota Islamabad</v>
      </c>
      <c r="G25" s="47">
        <f>'Journal Entries'!H25</f>
        <v>0</v>
      </c>
      <c r="H25" s="47">
        <f>'Journal Entries'!I25</f>
        <v>96750</v>
      </c>
      <c r="I25" s="47">
        <f t="shared" si="1"/>
        <v>-96750</v>
      </c>
      <c r="J25" s="47">
        <f t="shared" si="2"/>
        <v>-100100</v>
      </c>
      <c r="K25" s="44" t="str">
        <f>'Journal Entries'!L25</f>
        <v>Posted</v>
      </c>
    </row>
    <row r="26" ht="15.75" customHeight="1">
      <c r="A26" s="46">
        <f>'Journal Entries'!B26</f>
        <v>45846</v>
      </c>
      <c r="B26" s="44" t="str">
        <f>'Journal Entries'!A26</f>
        <v>JE-012</v>
      </c>
      <c r="C26" s="44" t="str">
        <f>'Journal Entries'!D26</f>
        <v>HBL250708013</v>
      </c>
      <c r="D26" s="44">
        <f>'Journal Entries'!F26</f>
        <v>1068</v>
      </c>
      <c r="E26" s="44" t="str">
        <f>'Journal Entries'!G26</f>
        <v>GL not found</v>
      </c>
      <c r="F26" s="44" t="str">
        <f>'Journal Entries'!E26</f>
        <v>Online transfer - Vehicle maintenance - Toyota Islamabad</v>
      </c>
      <c r="G26" s="47">
        <f>'Journal Entries'!H26</f>
        <v>96750</v>
      </c>
      <c r="H26" s="47">
        <f>'Journal Entries'!I26</f>
        <v>0</v>
      </c>
      <c r="I26" s="47">
        <f t="shared" si="1"/>
        <v>96750</v>
      </c>
      <c r="J26" s="47">
        <f t="shared" si="2"/>
        <v>146750</v>
      </c>
      <c r="K26" s="44" t="str">
        <f>'Journal Entries'!L26</f>
        <v>Posted</v>
      </c>
    </row>
    <row r="27" ht="15.75" customHeight="1">
      <c r="A27" s="46">
        <f>'Journal Entries'!B27</f>
        <v>45847</v>
      </c>
      <c r="B27" s="44" t="str">
        <f>'Journal Entries'!A27</f>
        <v>JE-013</v>
      </c>
      <c r="C27" s="44" t="str">
        <f>'Journal Entries'!D27</f>
        <v>HBL250709014</v>
      </c>
      <c r="D27" s="44">
        <f>'Journal Entries'!F27</f>
        <v>1029</v>
      </c>
      <c r="E27" s="44" t="str">
        <f>'Journal Entries'!G27</f>
        <v>GL not found</v>
      </c>
      <c r="F27" s="44" t="str">
        <f>'Journal Entries'!E27</f>
        <v>Card 8821 - Microsoft 365 Business subscription</v>
      </c>
      <c r="G27" s="47">
        <f>'Journal Entries'!H27</f>
        <v>0</v>
      </c>
      <c r="H27" s="47">
        <f>'Journal Entries'!I27</f>
        <v>36500</v>
      </c>
      <c r="I27" s="47">
        <f t="shared" si="1"/>
        <v>-36500</v>
      </c>
      <c r="J27" s="47">
        <f t="shared" si="2"/>
        <v>-136600</v>
      </c>
      <c r="K27" s="44" t="str">
        <f>'Journal Entries'!L27</f>
        <v>Posted</v>
      </c>
    </row>
    <row r="28" ht="15.75" customHeight="1">
      <c r="A28" s="46">
        <f>'Journal Entries'!B28</f>
        <v>45847</v>
      </c>
      <c r="B28" s="44" t="str">
        <f>'Journal Entries'!A28</f>
        <v>JE-013</v>
      </c>
      <c r="C28" s="44" t="str">
        <f>'Journal Entries'!D28</f>
        <v>HBL250709014</v>
      </c>
      <c r="D28" s="44">
        <f>'Journal Entries'!F28</f>
        <v>1068</v>
      </c>
      <c r="E28" s="44" t="str">
        <f>'Journal Entries'!G28</f>
        <v>GL not found</v>
      </c>
      <c r="F28" s="44" t="str">
        <f>'Journal Entries'!E28</f>
        <v>Card 8821 - Microsoft 365 Business subscription</v>
      </c>
      <c r="G28" s="47">
        <f>'Journal Entries'!H28</f>
        <v>36500</v>
      </c>
      <c r="H28" s="47">
        <f>'Journal Entries'!I28</f>
        <v>0</v>
      </c>
      <c r="I28" s="47">
        <f t="shared" si="1"/>
        <v>36500</v>
      </c>
      <c r="J28" s="47">
        <f t="shared" si="2"/>
        <v>183250</v>
      </c>
      <c r="K28" s="44" t="str">
        <f>'Journal Entries'!L28</f>
        <v>Posted</v>
      </c>
    </row>
    <row r="29" ht="15.75" customHeight="1">
      <c r="A29" s="46">
        <f>'Journal Entries'!B29</f>
        <v>45847</v>
      </c>
      <c r="B29" s="44" t="str">
        <f>'Journal Entries'!A29</f>
        <v>JE-014</v>
      </c>
      <c r="C29" s="44" t="str">
        <f>'Journal Entries'!D29</f>
        <v>HBL250709015</v>
      </c>
      <c r="D29" s="44">
        <f>'Journal Entries'!F29</f>
        <v>1029</v>
      </c>
      <c r="E29" s="44" t="str">
        <f>'Journal Entries'!G29</f>
        <v>GL not found</v>
      </c>
      <c r="F29" s="44" t="str">
        <f>'Journal Entries'!E29</f>
        <v>Foreign transaction fee - Microsoft subscription</v>
      </c>
      <c r="G29" s="47">
        <f>'Journal Entries'!H29</f>
        <v>0</v>
      </c>
      <c r="H29" s="47">
        <f>'Journal Entries'!I29</f>
        <v>1095</v>
      </c>
      <c r="I29" s="47">
        <f t="shared" si="1"/>
        <v>-1095</v>
      </c>
      <c r="J29" s="47">
        <f t="shared" si="2"/>
        <v>-137695</v>
      </c>
      <c r="K29" s="44" t="str">
        <f>'Journal Entries'!L29</f>
        <v>Posted</v>
      </c>
    </row>
    <row r="30" ht="15.75" customHeight="1">
      <c r="A30" s="46">
        <f>'Journal Entries'!B30</f>
        <v>45847</v>
      </c>
      <c r="B30" s="44" t="str">
        <f>'Journal Entries'!A30</f>
        <v>JE-014</v>
      </c>
      <c r="C30" s="44" t="str">
        <f>'Journal Entries'!D30</f>
        <v>HBL250709015</v>
      </c>
      <c r="D30" s="44">
        <f>'Journal Entries'!F30</f>
        <v>1057</v>
      </c>
      <c r="E30" s="44" t="str">
        <f>'Journal Entries'!G30</f>
        <v>GL not found</v>
      </c>
      <c r="F30" s="44" t="str">
        <f>'Journal Entries'!E30</f>
        <v>Foreign transaction fee - Microsoft subscription</v>
      </c>
      <c r="G30" s="47">
        <f>'Journal Entries'!H30</f>
        <v>1095</v>
      </c>
      <c r="H30" s="47">
        <f>'Journal Entries'!I30</f>
        <v>0</v>
      </c>
      <c r="I30" s="47">
        <f t="shared" si="1"/>
        <v>1095</v>
      </c>
      <c r="J30" s="47">
        <f t="shared" si="2"/>
        <v>1095</v>
      </c>
      <c r="K30" s="44" t="str">
        <f>'Journal Entries'!L30</f>
        <v>Posted</v>
      </c>
    </row>
    <row r="31" ht="15.75" customHeight="1">
      <c r="A31" s="46">
        <f>'Journal Entries'!B31</f>
        <v>45848</v>
      </c>
      <c r="B31" s="44" t="str">
        <f>'Journal Entries'!A31</f>
        <v>JE-015</v>
      </c>
      <c r="C31" s="44" t="str">
        <f>'Journal Entries'!D31</f>
        <v>CD250710</v>
      </c>
      <c r="D31" s="44">
        <f>'Journal Entries'!F31</f>
        <v>1029</v>
      </c>
      <c r="E31" s="44" t="str">
        <f>'Journal Entries'!G31</f>
        <v>GL not found</v>
      </c>
      <c r="F31" s="44" t="str">
        <f>'Journal Entries'!E31</f>
        <v>Cash deposit - Islamabad operations collections</v>
      </c>
      <c r="G31" s="47">
        <f>'Journal Entries'!H31</f>
        <v>224000</v>
      </c>
      <c r="H31" s="47">
        <f>'Journal Entries'!I31</f>
        <v>0</v>
      </c>
      <c r="I31" s="47">
        <f t="shared" si="1"/>
        <v>224000</v>
      </c>
      <c r="J31" s="47">
        <f t="shared" si="2"/>
        <v>86305</v>
      </c>
      <c r="K31" s="44" t="str">
        <f>'Journal Entries'!L31</f>
        <v>Posted</v>
      </c>
    </row>
    <row r="32" ht="15.75" customHeight="1">
      <c r="A32" s="46">
        <f>'Journal Entries'!B32</f>
        <v>45848</v>
      </c>
      <c r="B32" s="44" t="str">
        <f>'Journal Entries'!A32</f>
        <v>JE-015</v>
      </c>
      <c r="C32" s="44" t="str">
        <f>'Journal Entries'!D32</f>
        <v>CD250710</v>
      </c>
      <c r="D32" s="44">
        <f>'Journal Entries'!F32</f>
        <v>1050</v>
      </c>
      <c r="E32" s="44" t="str">
        <f>'Journal Entries'!G32</f>
        <v>GL not found</v>
      </c>
      <c r="F32" s="44" t="str">
        <f>'Journal Entries'!E32</f>
        <v>Cash deposit - Islamabad operations collections</v>
      </c>
      <c r="G32" s="47">
        <f>'Journal Entries'!H32</f>
        <v>0</v>
      </c>
      <c r="H32" s="47">
        <f>'Journal Entries'!I32</f>
        <v>224000</v>
      </c>
      <c r="I32" s="47">
        <f t="shared" si="1"/>
        <v>-224000</v>
      </c>
      <c r="J32" s="47">
        <f t="shared" si="2"/>
        <v>-224000</v>
      </c>
      <c r="K32" s="44" t="str">
        <f>'Journal Entries'!L32</f>
        <v>Posted</v>
      </c>
    </row>
    <row r="33" ht="15.75" customHeight="1">
      <c r="A33" s="46">
        <f>'Journal Entries'!B33</f>
        <v>45849</v>
      </c>
      <c r="B33" s="44" t="str">
        <f>'Journal Entries'!A33</f>
        <v>JE-016</v>
      </c>
      <c r="C33" s="44" t="str">
        <f>'Journal Entries'!D33</f>
        <v>CHQ104584</v>
      </c>
      <c r="D33" s="44">
        <f>'Journal Entries'!F33</f>
        <v>1029</v>
      </c>
      <c r="E33" s="44" t="str">
        <f>'Journal Entries'!G33</f>
        <v>GL not found</v>
      </c>
      <c r="F33" s="44" t="str">
        <f>'Journal Entries'!E33</f>
        <v>Cheque 104584 - Warehouse security deposit</v>
      </c>
      <c r="G33" s="47">
        <f>'Journal Entries'!H33</f>
        <v>0</v>
      </c>
      <c r="H33" s="47">
        <f>'Journal Entries'!I33</f>
        <v>200000</v>
      </c>
      <c r="I33" s="47">
        <f t="shared" si="1"/>
        <v>-200000</v>
      </c>
      <c r="J33" s="47">
        <f t="shared" si="2"/>
        <v>-113695</v>
      </c>
      <c r="K33" s="44" t="str">
        <f>'Journal Entries'!L33</f>
        <v>Posted</v>
      </c>
    </row>
    <row r="34" ht="15.75" customHeight="1">
      <c r="A34" s="46">
        <f>'Journal Entries'!B34</f>
        <v>45849</v>
      </c>
      <c r="B34" s="44" t="str">
        <f>'Journal Entries'!A34</f>
        <v>JE-016</v>
      </c>
      <c r="C34" s="44" t="str">
        <f>'Journal Entries'!D34</f>
        <v>CHQ104584</v>
      </c>
      <c r="D34" s="44">
        <f>'Journal Entries'!F34</f>
        <v>1021</v>
      </c>
      <c r="E34" s="44" t="str">
        <f>'Journal Entries'!G34</f>
        <v>GL not found</v>
      </c>
      <c r="F34" s="44" t="str">
        <f>'Journal Entries'!E34</f>
        <v>Cheque 104584 - Warehouse security deposit</v>
      </c>
      <c r="G34" s="47">
        <f>'Journal Entries'!H34</f>
        <v>200000</v>
      </c>
      <c r="H34" s="47">
        <f>'Journal Entries'!I34</f>
        <v>0</v>
      </c>
      <c r="I34" s="47">
        <f t="shared" si="1"/>
        <v>200000</v>
      </c>
      <c r="J34" s="47">
        <f t="shared" si="2"/>
        <v>200000</v>
      </c>
      <c r="K34" s="44" t="str">
        <f>'Journal Entries'!L34</f>
        <v>Posted</v>
      </c>
    </row>
    <row r="35" ht="15.75" customHeight="1">
      <c r="A35" s="46">
        <f>'Journal Entries'!B35</f>
        <v>45850</v>
      </c>
      <c r="B35" s="44" t="str">
        <f>'Journal Entries'!A35</f>
        <v>JE-017</v>
      </c>
      <c r="C35" s="44" t="str">
        <f>'Journal Entries'!D35</f>
        <v>HBL250712018</v>
      </c>
      <c r="D35" s="44">
        <f>'Journal Entries'!F35</f>
        <v>1029</v>
      </c>
      <c r="E35" s="44" t="str">
        <f>'Journal Entries'!G35</f>
        <v>GL not found</v>
      </c>
      <c r="F35" s="44" t="str">
        <f>'Journal Entries'!E35</f>
        <v>IBFT CR - Daraz Pakistan settlement INV-DZ-250712</v>
      </c>
      <c r="G35" s="47">
        <f>'Journal Entries'!H35</f>
        <v>742500</v>
      </c>
      <c r="H35" s="47">
        <f>'Journal Entries'!I35</f>
        <v>0</v>
      </c>
      <c r="I35" s="47">
        <f t="shared" si="1"/>
        <v>742500</v>
      </c>
      <c r="J35" s="47">
        <f t="shared" si="2"/>
        <v>628805</v>
      </c>
      <c r="K35" s="44" t="str">
        <f>'Journal Entries'!L35</f>
        <v>Posted</v>
      </c>
    </row>
    <row r="36" ht="15.75" customHeight="1">
      <c r="A36" s="46">
        <f>'Journal Entries'!B36</f>
        <v>45850</v>
      </c>
      <c r="B36" s="44" t="str">
        <f>'Journal Entries'!A36</f>
        <v>JE-017</v>
      </c>
      <c r="C36" s="44" t="str">
        <f>'Journal Entries'!D36</f>
        <v>HBL250712018</v>
      </c>
      <c r="D36" s="44">
        <f>'Journal Entries'!F36</f>
        <v>1018</v>
      </c>
      <c r="E36" s="44" t="str">
        <f>'Journal Entries'!G36</f>
        <v>GL not found</v>
      </c>
      <c r="F36" s="44" t="str">
        <f>'Journal Entries'!E36</f>
        <v>IBFT CR - Daraz Pakistan settlement INV-DZ-250712</v>
      </c>
      <c r="G36" s="47">
        <f>'Journal Entries'!H36</f>
        <v>0</v>
      </c>
      <c r="H36" s="47">
        <f>'Journal Entries'!I36</f>
        <v>742500</v>
      </c>
      <c r="I36" s="47">
        <f t="shared" si="1"/>
        <v>-742500</v>
      </c>
      <c r="J36" s="47">
        <f t="shared" si="2"/>
        <v>-2313750</v>
      </c>
      <c r="K36" s="44" t="str">
        <f>'Journal Entries'!L36</f>
        <v>Posted</v>
      </c>
    </row>
    <row r="37" ht="15.75" customHeight="1">
      <c r="A37" s="46">
        <f>'Journal Entries'!B37</f>
        <v>45852</v>
      </c>
      <c r="B37" s="44" t="str">
        <f>'Journal Entries'!A37</f>
        <v>JE-018</v>
      </c>
      <c r="C37" s="44" t="str">
        <f>'Journal Entries'!D37</f>
        <v>HBL250714019</v>
      </c>
      <c r="D37" s="44">
        <f>'Journal Entries'!F37</f>
        <v>1029</v>
      </c>
      <c r="E37" s="44" t="str">
        <f>'Journal Entries'!G37</f>
        <v>GL not found</v>
      </c>
      <c r="F37" s="44" t="str">
        <f>'Journal Entries'!E37</f>
        <v>Online transfer - Diesel supplier - PSO Fleet Card</v>
      </c>
      <c r="G37" s="47">
        <f>'Journal Entries'!H37</f>
        <v>0</v>
      </c>
      <c r="H37" s="47">
        <f>'Journal Entries'!I37</f>
        <v>386200</v>
      </c>
      <c r="I37" s="47">
        <f t="shared" si="1"/>
        <v>-386200</v>
      </c>
      <c r="J37" s="47">
        <f t="shared" si="2"/>
        <v>242605</v>
      </c>
      <c r="K37" s="44" t="str">
        <f>'Journal Entries'!L37</f>
        <v>Posted</v>
      </c>
    </row>
    <row r="38" ht="15.75" customHeight="1">
      <c r="A38" s="46">
        <f>'Journal Entries'!B38</f>
        <v>45852</v>
      </c>
      <c r="B38" s="44" t="str">
        <f>'Journal Entries'!A38</f>
        <v>JE-018</v>
      </c>
      <c r="C38" s="44" t="str">
        <f>'Journal Entries'!D38</f>
        <v>HBL250714019</v>
      </c>
      <c r="D38" s="44">
        <f>'Journal Entries'!F38</f>
        <v>1055</v>
      </c>
      <c r="E38" s="44" t="str">
        <f>'Journal Entries'!G38</f>
        <v>GL not found</v>
      </c>
      <c r="F38" s="44" t="str">
        <f>'Journal Entries'!E38</f>
        <v>Online transfer - Diesel supplier - PSO Fleet Card</v>
      </c>
      <c r="G38" s="47">
        <f>'Journal Entries'!H38</f>
        <v>386200</v>
      </c>
      <c r="H38" s="47">
        <f>'Journal Entries'!I38</f>
        <v>0</v>
      </c>
      <c r="I38" s="47">
        <f t="shared" si="1"/>
        <v>386200</v>
      </c>
      <c r="J38" s="47">
        <f t="shared" si="2"/>
        <v>404650</v>
      </c>
      <c r="K38" s="44" t="str">
        <f>'Journal Entries'!L38</f>
        <v>Posted</v>
      </c>
    </row>
    <row r="39" ht="15.75" customHeight="1">
      <c r="A39" s="46">
        <f>'Journal Entries'!B39</f>
        <v>45853</v>
      </c>
      <c r="B39" s="44" t="str">
        <f>'Journal Entries'!A39</f>
        <v>JE-019</v>
      </c>
      <c r="C39" s="44" t="str">
        <f>'Journal Entries'!D39</f>
        <v>HBL250715020</v>
      </c>
      <c r="D39" s="44">
        <f>'Journal Entries'!F39</f>
        <v>1029</v>
      </c>
      <c r="E39" s="44" t="str">
        <f>'Journal Entries'!G39</f>
        <v>GL not found</v>
      </c>
      <c r="F39" s="44" t="str">
        <f>'Journal Entries'!E39</f>
        <v>Bank service charges - July</v>
      </c>
      <c r="G39" s="47">
        <f>'Journal Entries'!H39</f>
        <v>0</v>
      </c>
      <c r="H39" s="47">
        <f>'Journal Entries'!I39</f>
        <v>2500</v>
      </c>
      <c r="I39" s="47">
        <f t="shared" si="1"/>
        <v>-2500</v>
      </c>
      <c r="J39" s="47">
        <f t="shared" si="2"/>
        <v>240105</v>
      </c>
      <c r="K39" s="44" t="str">
        <f>'Journal Entries'!L39</f>
        <v>Posted</v>
      </c>
    </row>
    <row r="40" ht="15.75" customHeight="1">
      <c r="A40" s="46">
        <f>'Journal Entries'!B40</f>
        <v>45853</v>
      </c>
      <c r="B40" s="44" t="str">
        <f>'Journal Entries'!A40</f>
        <v>JE-019</v>
      </c>
      <c r="C40" s="44" t="str">
        <f>'Journal Entries'!D40</f>
        <v>HBL250715020</v>
      </c>
      <c r="D40" s="44">
        <f>'Journal Entries'!F40</f>
        <v>1057</v>
      </c>
      <c r="E40" s="44" t="str">
        <f>'Journal Entries'!G40</f>
        <v>GL not found</v>
      </c>
      <c r="F40" s="44" t="str">
        <f>'Journal Entries'!E40</f>
        <v>Bank service charges - July</v>
      </c>
      <c r="G40" s="47">
        <f>'Journal Entries'!H40</f>
        <v>2500</v>
      </c>
      <c r="H40" s="47">
        <f>'Journal Entries'!I40</f>
        <v>0</v>
      </c>
      <c r="I40" s="47">
        <f t="shared" si="1"/>
        <v>2500</v>
      </c>
      <c r="J40" s="47">
        <f t="shared" si="2"/>
        <v>3595</v>
      </c>
      <c r="K40" s="44" t="str">
        <f>'Journal Entries'!L40</f>
        <v>Posted</v>
      </c>
    </row>
    <row r="41" ht="15.75" customHeight="1">
      <c r="A41" s="46">
        <f>'Journal Entries'!B41</f>
        <v>45853</v>
      </c>
      <c r="B41" s="44" t="str">
        <f>'Journal Entries'!A41</f>
        <v>JE-020</v>
      </c>
      <c r="C41" s="44" t="str">
        <f>'Journal Entries'!D41</f>
        <v>HBL250715021</v>
      </c>
      <c r="D41" s="44">
        <f>'Journal Entries'!F41</f>
        <v>1029</v>
      </c>
      <c r="E41" s="44" t="str">
        <f>'Journal Entries'!G41</f>
        <v>GL not found</v>
      </c>
      <c r="F41" s="44" t="str">
        <f>'Journal Entries'!E41</f>
        <v>FED on bank service charges</v>
      </c>
      <c r="G41" s="47">
        <f>'Journal Entries'!H41</f>
        <v>0</v>
      </c>
      <c r="H41" s="47">
        <f>'Journal Entries'!I41</f>
        <v>400</v>
      </c>
      <c r="I41" s="47">
        <f t="shared" si="1"/>
        <v>-400</v>
      </c>
      <c r="J41" s="47">
        <f t="shared" si="2"/>
        <v>239705</v>
      </c>
      <c r="K41" s="44" t="str">
        <f>'Journal Entries'!L41</f>
        <v>Posted</v>
      </c>
    </row>
    <row r="42" ht="15.75" customHeight="1">
      <c r="A42" s="46">
        <f>'Journal Entries'!B42</f>
        <v>45853</v>
      </c>
      <c r="B42" s="44" t="str">
        <f>'Journal Entries'!A42</f>
        <v>JE-020</v>
      </c>
      <c r="C42" s="44" t="str">
        <f>'Journal Entries'!D42</f>
        <v>HBL250715021</v>
      </c>
      <c r="D42" s="44">
        <f>'Journal Entries'!F42</f>
        <v>1068</v>
      </c>
      <c r="E42" s="44" t="str">
        <f>'Journal Entries'!G42</f>
        <v>GL not found</v>
      </c>
      <c r="F42" s="44" t="str">
        <f>'Journal Entries'!E42</f>
        <v>FED on bank service charges</v>
      </c>
      <c r="G42" s="47">
        <f>'Journal Entries'!H42</f>
        <v>400</v>
      </c>
      <c r="H42" s="47">
        <f>'Journal Entries'!I42</f>
        <v>0</v>
      </c>
      <c r="I42" s="47">
        <f t="shared" si="1"/>
        <v>400</v>
      </c>
      <c r="J42" s="47">
        <f t="shared" si="2"/>
        <v>183650</v>
      </c>
      <c r="K42" s="44" t="str">
        <f>'Journal Entries'!L42</f>
        <v>Posted</v>
      </c>
    </row>
    <row r="43" ht="15.75" customHeight="1">
      <c r="A43" s="46">
        <f>'Journal Entries'!B43</f>
        <v>45854</v>
      </c>
      <c r="B43" s="44" t="str">
        <f>'Journal Entries'!A43</f>
        <v>JE-021</v>
      </c>
      <c r="C43" s="44" t="str">
        <f>'Journal Entries'!D43</f>
        <v>HBL250716022</v>
      </c>
      <c r="D43" s="44">
        <f>'Journal Entries'!F43</f>
        <v>1029</v>
      </c>
      <c r="E43" s="44" t="str">
        <f>'Journal Entries'!G43</f>
        <v>GL not found</v>
      </c>
      <c r="F43" s="44" t="str">
        <f>'Journal Entries'!E43</f>
        <v>Raast CR - Corporate delivery customer AR-1098</v>
      </c>
      <c r="G43" s="47">
        <f>'Journal Entries'!H43</f>
        <v>455000</v>
      </c>
      <c r="H43" s="47">
        <f>'Journal Entries'!I43</f>
        <v>0</v>
      </c>
      <c r="I43" s="47">
        <f t="shared" si="1"/>
        <v>455000</v>
      </c>
      <c r="J43" s="47">
        <f t="shared" si="2"/>
        <v>694705</v>
      </c>
      <c r="K43" s="44" t="str">
        <f>'Journal Entries'!L43</f>
        <v>Posted</v>
      </c>
    </row>
    <row r="44" ht="15.75" customHeight="1">
      <c r="A44" s="46">
        <f>'Journal Entries'!B44</f>
        <v>45854</v>
      </c>
      <c r="B44" s="44" t="str">
        <f>'Journal Entries'!A44</f>
        <v>JE-021</v>
      </c>
      <c r="C44" s="44" t="str">
        <f>'Journal Entries'!D44</f>
        <v>HBL250716022</v>
      </c>
      <c r="D44" s="44">
        <f>'Journal Entries'!F44</f>
        <v>1018</v>
      </c>
      <c r="E44" s="44" t="str">
        <f>'Journal Entries'!G44</f>
        <v>GL not found</v>
      </c>
      <c r="F44" s="44" t="str">
        <f>'Journal Entries'!E44</f>
        <v>Raast CR - Corporate delivery customer AR-1098</v>
      </c>
      <c r="G44" s="47">
        <f>'Journal Entries'!H44</f>
        <v>0</v>
      </c>
      <c r="H44" s="47">
        <f>'Journal Entries'!I44</f>
        <v>455000</v>
      </c>
      <c r="I44" s="47">
        <f t="shared" si="1"/>
        <v>-455000</v>
      </c>
      <c r="J44" s="47">
        <f t="shared" si="2"/>
        <v>-2768750</v>
      </c>
      <c r="K44" s="44" t="str">
        <f>'Journal Entries'!L44</f>
        <v>Posted</v>
      </c>
    </row>
    <row r="45" ht="15.75" customHeight="1">
      <c r="A45" s="46">
        <f>'Journal Entries'!B45</f>
        <v>45855</v>
      </c>
      <c r="B45" s="44" t="str">
        <f>'Journal Entries'!A45</f>
        <v>JE-022</v>
      </c>
      <c r="C45" s="44" t="str">
        <f>'Journal Entries'!D45</f>
        <v>HBL250717023</v>
      </c>
      <c r="D45" s="44">
        <f>'Journal Entries'!F45</f>
        <v>1029</v>
      </c>
      <c r="E45" s="44" t="str">
        <f>'Journal Entries'!G45</f>
        <v>GL not found</v>
      </c>
      <c r="F45" s="44" t="str">
        <f>'Journal Entries'!E45</f>
        <v>Online payment - Jazz corporate mobile bill</v>
      </c>
      <c r="G45" s="47">
        <f>'Journal Entries'!H45</f>
        <v>0</v>
      </c>
      <c r="H45" s="47">
        <f>'Journal Entries'!I45</f>
        <v>58750</v>
      </c>
      <c r="I45" s="47">
        <f t="shared" si="1"/>
        <v>-58750</v>
      </c>
      <c r="J45" s="47">
        <f t="shared" si="2"/>
        <v>635955</v>
      </c>
      <c r="K45" s="44" t="str">
        <f>'Journal Entries'!L45</f>
        <v>Posted</v>
      </c>
    </row>
    <row r="46" ht="15.75" customHeight="1">
      <c r="A46" s="46">
        <f>'Journal Entries'!B46</f>
        <v>45855</v>
      </c>
      <c r="B46" s="44" t="str">
        <f>'Journal Entries'!A46</f>
        <v>JE-022</v>
      </c>
      <c r="C46" s="44" t="str">
        <f>'Journal Entries'!D46</f>
        <v>HBL250717023</v>
      </c>
      <c r="D46" s="44">
        <f>'Journal Entries'!F46</f>
        <v>1058</v>
      </c>
      <c r="E46" s="44" t="str">
        <f>'Journal Entries'!G46</f>
        <v>GL not found</v>
      </c>
      <c r="F46" s="44" t="str">
        <f>'Journal Entries'!E46</f>
        <v>Online payment - Jazz corporate mobile bill</v>
      </c>
      <c r="G46" s="47">
        <f>'Journal Entries'!H46</f>
        <v>58750</v>
      </c>
      <c r="H46" s="47">
        <f>'Journal Entries'!I46</f>
        <v>0</v>
      </c>
      <c r="I46" s="47">
        <f t="shared" si="1"/>
        <v>58750</v>
      </c>
      <c r="J46" s="47">
        <f t="shared" si="2"/>
        <v>376550</v>
      </c>
      <c r="K46" s="44" t="str">
        <f>'Journal Entries'!L46</f>
        <v>Posted</v>
      </c>
    </row>
    <row r="47" ht="15.75" customHeight="1">
      <c r="A47" s="46">
        <f>'Journal Entries'!B47</f>
        <v>45856</v>
      </c>
      <c r="B47" s="44" t="str">
        <f>'Journal Entries'!A47</f>
        <v>JE-023</v>
      </c>
      <c r="C47" s="44" t="str">
        <f>'Journal Entries'!D47</f>
        <v>CHQ104585</v>
      </c>
      <c r="D47" s="44">
        <f>'Journal Entries'!F47</f>
        <v>1029</v>
      </c>
      <c r="E47" s="44" t="str">
        <f>'Journal Entries'!G47</f>
        <v>GL not found</v>
      </c>
      <c r="F47" s="44" t="str">
        <f>'Journal Entries'!E47</f>
        <v>Cheque 104585 - Packaging material supplier</v>
      </c>
      <c r="G47" s="47">
        <f>'Journal Entries'!H47</f>
        <v>0</v>
      </c>
      <c r="H47" s="47">
        <f>'Journal Entries'!I47</f>
        <v>148600</v>
      </c>
      <c r="I47" s="47">
        <f t="shared" si="1"/>
        <v>-148600</v>
      </c>
      <c r="J47" s="47">
        <f t="shared" si="2"/>
        <v>487355</v>
      </c>
      <c r="K47" s="44" t="str">
        <f>'Journal Entries'!L47</f>
        <v>Posted</v>
      </c>
    </row>
    <row r="48" ht="15.75" customHeight="1">
      <c r="A48" s="46">
        <f>'Journal Entries'!B48</f>
        <v>45856</v>
      </c>
      <c r="B48" s="44" t="str">
        <f>'Journal Entries'!A48</f>
        <v>JE-023</v>
      </c>
      <c r="C48" s="44" t="str">
        <f>'Journal Entries'!D48</f>
        <v>CHQ104585</v>
      </c>
      <c r="D48" s="44">
        <f>'Journal Entries'!F48</f>
        <v>1068</v>
      </c>
      <c r="E48" s="44" t="str">
        <f>'Journal Entries'!G48</f>
        <v>GL not found</v>
      </c>
      <c r="F48" s="44" t="str">
        <f>'Journal Entries'!E48</f>
        <v>Cheque 104585 - Packaging material supplier</v>
      </c>
      <c r="G48" s="47">
        <f>'Journal Entries'!H48</f>
        <v>148600</v>
      </c>
      <c r="H48" s="47">
        <f>'Journal Entries'!I48</f>
        <v>0</v>
      </c>
      <c r="I48" s="47">
        <f t="shared" si="1"/>
        <v>148600</v>
      </c>
      <c r="J48" s="47">
        <f t="shared" si="2"/>
        <v>332250</v>
      </c>
      <c r="K48" s="44" t="str">
        <f>'Journal Entries'!L48</f>
        <v>Posted</v>
      </c>
    </row>
    <row r="49" ht="15.75" customHeight="1">
      <c r="A49" s="46">
        <f>'Journal Entries'!B49</f>
        <v>45857</v>
      </c>
      <c r="B49" s="44" t="str">
        <f>'Journal Entries'!A49</f>
        <v>JE-024</v>
      </c>
      <c r="C49" s="44" t="str">
        <f>'Journal Entries'!D49</f>
        <v>HBL250719025</v>
      </c>
      <c r="D49" s="44">
        <f>'Journal Entries'!F49</f>
        <v>1029</v>
      </c>
      <c r="E49" s="44" t="str">
        <f>'Journal Entries'!G49</f>
        <v>GL not found</v>
      </c>
      <c r="F49" s="44" t="str">
        <f>'Journal Entries'!E49</f>
        <v>IBFT CR - Onic distribution collection Batch 0719</v>
      </c>
      <c r="G49" s="47">
        <f>'Journal Entries'!H49</f>
        <v>520000</v>
      </c>
      <c r="H49" s="47">
        <f>'Journal Entries'!I49</f>
        <v>0</v>
      </c>
      <c r="I49" s="47">
        <f t="shared" si="1"/>
        <v>520000</v>
      </c>
      <c r="J49" s="47">
        <f t="shared" si="2"/>
        <v>1007355</v>
      </c>
      <c r="K49" s="44" t="str">
        <f>'Journal Entries'!L49</f>
        <v>Posted</v>
      </c>
    </row>
    <row r="50" ht="15.75" customHeight="1">
      <c r="A50" s="46">
        <f>'Journal Entries'!B50</f>
        <v>45857</v>
      </c>
      <c r="B50" s="44" t="str">
        <f>'Journal Entries'!A50</f>
        <v>JE-024</v>
      </c>
      <c r="C50" s="44" t="str">
        <f>'Journal Entries'!D50</f>
        <v>HBL250719025</v>
      </c>
      <c r="D50" s="44">
        <f>'Journal Entries'!F50</f>
        <v>1018</v>
      </c>
      <c r="E50" s="44" t="str">
        <f>'Journal Entries'!G50</f>
        <v>GL not found</v>
      </c>
      <c r="F50" s="44" t="str">
        <f>'Journal Entries'!E50</f>
        <v>IBFT CR - Onic distribution collection Batch 0719</v>
      </c>
      <c r="G50" s="47">
        <f>'Journal Entries'!H50</f>
        <v>0</v>
      </c>
      <c r="H50" s="47">
        <f>'Journal Entries'!I50</f>
        <v>520000</v>
      </c>
      <c r="I50" s="47">
        <f t="shared" si="1"/>
        <v>-520000</v>
      </c>
      <c r="J50" s="47">
        <f t="shared" si="2"/>
        <v>-3288750</v>
      </c>
      <c r="K50" s="44" t="str">
        <f>'Journal Entries'!L50</f>
        <v>Posted</v>
      </c>
    </row>
    <row r="51" ht="15.75" customHeight="1">
      <c r="A51" s="46">
        <f>'Journal Entries'!B51</f>
        <v>45859</v>
      </c>
      <c r="B51" s="44" t="str">
        <f>'Journal Entries'!A51</f>
        <v>JE-025</v>
      </c>
      <c r="C51" s="44" t="str">
        <f>'Journal Entries'!D51</f>
        <v>HBL250721026</v>
      </c>
      <c r="D51" s="44">
        <f>'Journal Entries'!F51</f>
        <v>1029</v>
      </c>
      <c r="E51" s="44" t="str">
        <f>'Journal Entries'!G51</f>
        <v>GL not found</v>
      </c>
      <c r="F51" s="44" t="str">
        <f>'Journal Entries'!E51</f>
        <v>Transfer to Meezan Bank payroll account</v>
      </c>
      <c r="G51" s="47">
        <f>'Journal Entries'!H51</f>
        <v>0</v>
      </c>
      <c r="H51" s="47">
        <f>'Journal Entries'!I51</f>
        <v>550000</v>
      </c>
      <c r="I51" s="47">
        <f t="shared" si="1"/>
        <v>-550000</v>
      </c>
      <c r="J51" s="47">
        <f t="shared" si="2"/>
        <v>457355</v>
      </c>
      <c r="K51" s="44" t="str">
        <f>'Journal Entries'!L51</f>
        <v>Posted</v>
      </c>
    </row>
    <row r="52" ht="15.75" customHeight="1">
      <c r="A52" s="46">
        <f>'Journal Entries'!B52</f>
        <v>45859</v>
      </c>
      <c r="B52" s="44" t="str">
        <f>'Journal Entries'!A52</f>
        <v>JE-025</v>
      </c>
      <c r="C52" s="44" t="str">
        <f>'Journal Entries'!D52</f>
        <v>HBL250721026</v>
      </c>
      <c r="D52" s="44">
        <f>'Journal Entries'!F52</f>
        <v>1030</v>
      </c>
      <c r="E52" s="44" t="str">
        <f>'Journal Entries'!G52</f>
        <v>GL not found</v>
      </c>
      <c r="F52" s="44" t="str">
        <f>'Journal Entries'!E52</f>
        <v>Transfer to Meezan Bank payroll account</v>
      </c>
      <c r="G52" s="47">
        <f>'Journal Entries'!H52</f>
        <v>550000</v>
      </c>
      <c r="H52" s="47">
        <f>'Journal Entries'!I52</f>
        <v>0</v>
      </c>
      <c r="I52" s="47">
        <f t="shared" si="1"/>
        <v>550000</v>
      </c>
      <c r="J52" s="47">
        <f t="shared" si="2"/>
        <v>1400000</v>
      </c>
      <c r="K52" s="44" t="str">
        <f>'Journal Entries'!L52</f>
        <v>Posted</v>
      </c>
    </row>
    <row r="53" ht="15.75" customHeight="1">
      <c r="A53" s="46">
        <f>'Journal Entries'!B53</f>
        <v>45860</v>
      </c>
      <c r="B53" s="44" t="str">
        <f>'Journal Entries'!A53</f>
        <v>JE-026</v>
      </c>
      <c r="C53" s="44" t="str">
        <f>'Journal Entries'!D53</f>
        <v>HBL250722027</v>
      </c>
      <c r="D53" s="44">
        <f>'Journal Entries'!F53</f>
        <v>1029</v>
      </c>
      <c r="E53" s="44" t="str">
        <f>'Journal Entries'!G53</f>
        <v>GL not found</v>
      </c>
      <c r="F53" s="44" t="str">
        <f>'Journal Entries'!E53</f>
        <v>Online transfer - Insurance premium - EFU General</v>
      </c>
      <c r="G53" s="47">
        <f>'Journal Entries'!H53</f>
        <v>0</v>
      </c>
      <c r="H53" s="47">
        <f>'Journal Entries'!I53</f>
        <v>180000</v>
      </c>
      <c r="I53" s="47">
        <f t="shared" si="1"/>
        <v>-180000</v>
      </c>
      <c r="J53" s="47">
        <f t="shared" si="2"/>
        <v>277355</v>
      </c>
      <c r="K53" s="44" t="str">
        <f>'Journal Entries'!L53</f>
        <v>Posted</v>
      </c>
    </row>
    <row r="54" ht="15.75" customHeight="1">
      <c r="A54" s="46">
        <f>'Journal Entries'!B54</f>
        <v>45860</v>
      </c>
      <c r="B54" s="44" t="str">
        <f>'Journal Entries'!A54</f>
        <v>JE-026</v>
      </c>
      <c r="C54" s="44" t="str">
        <f>'Journal Entries'!D54</f>
        <v>HBL250722027</v>
      </c>
      <c r="D54" s="44">
        <f>'Journal Entries'!F54</f>
        <v>1026</v>
      </c>
      <c r="E54" s="44" t="str">
        <f>'Journal Entries'!G54</f>
        <v>GL not found</v>
      </c>
      <c r="F54" s="44" t="str">
        <f>'Journal Entries'!E54</f>
        <v>Online transfer - Insurance premium - EFU General</v>
      </c>
      <c r="G54" s="47">
        <f>'Journal Entries'!H54</f>
        <v>180000</v>
      </c>
      <c r="H54" s="47">
        <f>'Journal Entries'!I54</f>
        <v>0</v>
      </c>
      <c r="I54" s="47">
        <f t="shared" si="1"/>
        <v>180000</v>
      </c>
      <c r="J54" s="47">
        <f t="shared" si="2"/>
        <v>180000</v>
      </c>
      <c r="K54" s="44" t="str">
        <f>'Journal Entries'!L54</f>
        <v>Posted</v>
      </c>
    </row>
    <row r="55" ht="15.75" customHeight="1">
      <c r="A55" s="46">
        <f>'Journal Entries'!B55</f>
        <v>45861</v>
      </c>
      <c r="B55" s="44" t="str">
        <f>'Journal Entries'!A55</f>
        <v>JE-027</v>
      </c>
      <c r="C55" s="44" t="str">
        <f>'Journal Entries'!D55</f>
        <v>HBL250723028</v>
      </c>
      <c r="D55" s="44">
        <f>'Journal Entries'!F55</f>
        <v>1029</v>
      </c>
      <c r="E55" s="44" t="str">
        <f>'Journal Entries'!G55</f>
        <v>GL not found</v>
      </c>
      <c r="F55" s="44" t="str">
        <f>'Journal Entries'!E55</f>
        <v>IBFT CR - COD settlement - Retail merchant pool</v>
      </c>
      <c r="G55" s="47">
        <f>'Journal Entries'!H55</f>
        <v>389450</v>
      </c>
      <c r="H55" s="47">
        <f>'Journal Entries'!I55</f>
        <v>0</v>
      </c>
      <c r="I55" s="47">
        <f t="shared" si="1"/>
        <v>389450</v>
      </c>
      <c r="J55" s="47">
        <f t="shared" si="2"/>
        <v>666805</v>
      </c>
      <c r="K55" s="44" t="str">
        <f>'Journal Entries'!L55</f>
        <v>Posted</v>
      </c>
    </row>
    <row r="56" ht="15.75" customHeight="1">
      <c r="A56" s="46">
        <f>'Journal Entries'!B56</f>
        <v>45861</v>
      </c>
      <c r="B56" s="44" t="str">
        <f>'Journal Entries'!A56</f>
        <v>JE-027</v>
      </c>
      <c r="C56" s="44" t="str">
        <f>'Journal Entries'!D56</f>
        <v>HBL250723028</v>
      </c>
      <c r="D56" s="44">
        <f>'Journal Entries'!F56</f>
        <v>1018</v>
      </c>
      <c r="E56" s="44" t="str">
        <f>'Journal Entries'!G56</f>
        <v>GL not found</v>
      </c>
      <c r="F56" s="44" t="str">
        <f>'Journal Entries'!E56</f>
        <v>IBFT CR - COD settlement - Retail merchant pool</v>
      </c>
      <c r="G56" s="47">
        <f>'Journal Entries'!H56</f>
        <v>0</v>
      </c>
      <c r="H56" s="47">
        <f>'Journal Entries'!I56</f>
        <v>389450</v>
      </c>
      <c r="I56" s="47">
        <f t="shared" si="1"/>
        <v>-389450</v>
      </c>
      <c r="J56" s="47">
        <f t="shared" si="2"/>
        <v>-3678200</v>
      </c>
      <c r="K56" s="44" t="str">
        <f>'Journal Entries'!L56</f>
        <v>Posted</v>
      </c>
    </row>
    <row r="57" ht="15.75" customHeight="1">
      <c r="A57" s="46">
        <f>'Journal Entries'!B57</f>
        <v>45862</v>
      </c>
      <c r="B57" s="44" t="str">
        <f>'Journal Entries'!A57</f>
        <v>JE-028</v>
      </c>
      <c r="C57" s="44" t="str">
        <f>'Journal Entries'!D57</f>
        <v>HBL250724029</v>
      </c>
      <c r="D57" s="44">
        <f>'Journal Entries'!F57</f>
        <v>1029</v>
      </c>
      <c r="E57" s="44" t="str">
        <f>'Journal Entries'!G57</f>
        <v>GL not found</v>
      </c>
      <c r="F57" s="44" t="str">
        <f>'Journal Entries'!E57</f>
        <v>Card 8821 - AWS cloud services</v>
      </c>
      <c r="G57" s="47">
        <f>'Journal Entries'!H57</f>
        <v>0</v>
      </c>
      <c r="H57" s="47">
        <f>'Journal Entries'!I57</f>
        <v>72600</v>
      </c>
      <c r="I57" s="47">
        <f t="shared" si="1"/>
        <v>-72600</v>
      </c>
      <c r="J57" s="47">
        <f t="shared" si="2"/>
        <v>594205</v>
      </c>
      <c r="K57" s="44" t="str">
        <f>'Journal Entries'!L57</f>
        <v>Posted</v>
      </c>
    </row>
    <row r="58" ht="15.75" customHeight="1">
      <c r="A58" s="46">
        <f>'Journal Entries'!B58</f>
        <v>45862</v>
      </c>
      <c r="B58" s="44" t="str">
        <f>'Journal Entries'!A58</f>
        <v>JE-028</v>
      </c>
      <c r="C58" s="44" t="str">
        <f>'Journal Entries'!D58</f>
        <v>HBL250724029</v>
      </c>
      <c r="D58" s="44">
        <f>'Journal Entries'!F58</f>
        <v>1068</v>
      </c>
      <c r="E58" s="44" t="str">
        <f>'Journal Entries'!G58</f>
        <v>GL not found</v>
      </c>
      <c r="F58" s="44" t="str">
        <f>'Journal Entries'!E58</f>
        <v>Card 8821 - AWS cloud services</v>
      </c>
      <c r="G58" s="47">
        <f>'Journal Entries'!H58</f>
        <v>72600</v>
      </c>
      <c r="H58" s="47">
        <f>'Journal Entries'!I58</f>
        <v>0</v>
      </c>
      <c r="I58" s="47">
        <f t="shared" si="1"/>
        <v>72600</v>
      </c>
      <c r="J58" s="47">
        <f t="shared" si="2"/>
        <v>404850</v>
      </c>
      <c r="K58" s="44" t="str">
        <f>'Journal Entries'!L58</f>
        <v>Posted</v>
      </c>
    </row>
    <row r="59" ht="15.75" customHeight="1">
      <c r="A59" s="46">
        <f>'Journal Entries'!B59</f>
        <v>45863</v>
      </c>
      <c r="B59" s="44" t="str">
        <f>'Journal Entries'!A59</f>
        <v>JE-029</v>
      </c>
      <c r="C59" s="44" t="str">
        <f>'Journal Entries'!D59</f>
        <v>HBL250725030</v>
      </c>
      <c r="D59" s="44">
        <f>'Journal Entries'!F59</f>
        <v>1029</v>
      </c>
      <c r="E59" s="44" t="str">
        <f>'Journal Entries'!G59</f>
        <v>GL not found</v>
      </c>
      <c r="F59" s="44" t="str">
        <f>'Journal Entries'!E59</f>
        <v>Cheque return charges - customer cheque 77891</v>
      </c>
      <c r="G59" s="47">
        <f>'Journal Entries'!H59</f>
        <v>0</v>
      </c>
      <c r="H59" s="47">
        <f>'Journal Entries'!I59</f>
        <v>1500</v>
      </c>
      <c r="I59" s="47">
        <f t="shared" si="1"/>
        <v>-1500</v>
      </c>
      <c r="J59" s="47">
        <f t="shared" si="2"/>
        <v>592705</v>
      </c>
      <c r="K59" s="44" t="str">
        <f>'Journal Entries'!L59</f>
        <v>Posted</v>
      </c>
    </row>
    <row r="60" ht="15.75" customHeight="1">
      <c r="A60" s="46">
        <f>'Journal Entries'!B60</f>
        <v>45863</v>
      </c>
      <c r="B60" s="44" t="str">
        <f>'Journal Entries'!A60</f>
        <v>JE-029</v>
      </c>
      <c r="C60" s="44" t="str">
        <f>'Journal Entries'!D60</f>
        <v>HBL250725030</v>
      </c>
      <c r="D60" s="44">
        <f>'Journal Entries'!F60</f>
        <v>1057</v>
      </c>
      <c r="E60" s="44" t="str">
        <f>'Journal Entries'!G60</f>
        <v>GL not found</v>
      </c>
      <c r="F60" s="44" t="str">
        <f>'Journal Entries'!E60</f>
        <v>Cheque return charges - customer cheque 77891</v>
      </c>
      <c r="G60" s="47">
        <f>'Journal Entries'!H60</f>
        <v>1500</v>
      </c>
      <c r="H60" s="47">
        <f>'Journal Entries'!I60</f>
        <v>0</v>
      </c>
      <c r="I60" s="47">
        <f t="shared" si="1"/>
        <v>1500</v>
      </c>
      <c r="J60" s="47">
        <f t="shared" si="2"/>
        <v>5095</v>
      </c>
      <c r="K60" s="44" t="str">
        <f>'Journal Entries'!L60</f>
        <v>Posted</v>
      </c>
    </row>
    <row r="61" ht="15.75" customHeight="1">
      <c r="A61" s="46">
        <f>'Journal Entries'!B61</f>
        <v>45866</v>
      </c>
      <c r="B61" s="44" t="str">
        <f>'Journal Entries'!A61</f>
        <v>JE-030</v>
      </c>
      <c r="C61" s="44" t="str">
        <f>'Journal Entries'!D61</f>
        <v>HBL250728031</v>
      </c>
      <c r="D61" s="44">
        <f>'Journal Entries'!F61</f>
        <v>1029</v>
      </c>
      <c r="E61" s="44" t="str">
        <f>'Journal Entries'!G61</f>
        <v>GL not found</v>
      </c>
      <c r="F61" s="44" t="str">
        <f>'Journal Entries'!E61</f>
        <v>IBFT CR - Customer cheque 77891 redeposited</v>
      </c>
      <c r="G61" s="47">
        <f>'Journal Entries'!H61</f>
        <v>265000</v>
      </c>
      <c r="H61" s="47">
        <f>'Journal Entries'!I61</f>
        <v>0</v>
      </c>
      <c r="I61" s="47">
        <f t="shared" si="1"/>
        <v>265000</v>
      </c>
      <c r="J61" s="47">
        <f t="shared" si="2"/>
        <v>857705</v>
      </c>
      <c r="K61" s="44" t="str">
        <f>'Journal Entries'!L61</f>
        <v>Posted</v>
      </c>
    </row>
    <row r="62" ht="15.75" customHeight="1">
      <c r="A62" s="46">
        <f>'Journal Entries'!B62</f>
        <v>45866</v>
      </c>
      <c r="B62" s="44" t="str">
        <f>'Journal Entries'!A62</f>
        <v>JE-030</v>
      </c>
      <c r="C62" s="44" t="str">
        <f>'Journal Entries'!D62</f>
        <v>HBL250728031</v>
      </c>
      <c r="D62" s="44">
        <f>'Journal Entries'!F62</f>
        <v>1018</v>
      </c>
      <c r="E62" s="44" t="str">
        <f>'Journal Entries'!G62</f>
        <v>GL not found</v>
      </c>
      <c r="F62" s="44" t="str">
        <f>'Journal Entries'!E62</f>
        <v>IBFT CR - Customer cheque 77891 redeposited</v>
      </c>
      <c r="G62" s="47">
        <f>'Journal Entries'!H62</f>
        <v>0</v>
      </c>
      <c r="H62" s="47">
        <f>'Journal Entries'!I62</f>
        <v>265000</v>
      </c>
      <c r="I62" s="47">
        <f t="shared" si="1"/>
        <v>-265000</v>
      </c>
      <c r="J62" s="47">
        <f t="shared" si="2"/>
        <v>-3943200</v>
      </c>
      <c r="K62" s="44" t="str">
        <f>'Journal Entries'!L62</f>
        <v>Posted</v>
      </c>
    </row>
    <row r="63" ht="15.75" customHeight="1">
      <c r="A63" s="46">
        <f>'Journal Entries'!B63</f>
        <v>45867</v>
      </c>
      <c r="B63" s="44" t="str">
        <f>'Journal Entries'!A63</f>
        <v>JE-031</v>
      </c>
      <c r="C63" s="44" t="str">
        <f>'Journal Entries'!D63</f>
        <v>HBL250729032</v>
      </c>
      <c r="D63" s="44">
        <f>'Journal Entries'!F63</f>
        <v>1029</v>
      </c>
      <c r="E63" s="44" t="str">
        <f>'Journal Entries'!G63</f>
        <v>GL not found</v>
      </c>
      <c r="F63" s="44" t="str">
        <f>'Journal Entries'!E63</f>
        <v>Online transfer - Legal and professional fee</v>
      </c>
      <c r="G63" s="47">
        <f>'Journal Entries'!H63</f>
        <v>0</v>
      </c>
      <c r="H63" s="47">
        <f>'Journal Entries'!I63</f>
        <v>125000</v>
      </c>
      <c r="I63" s="47">
        <f t="shared" si="1"/>
        <v>-125000</v>
      </c>
      <c r="J63" s="47">
        <f t="shared" si="2"/>
        <v>732705</v>
      </c>
      <c r="K63" s="44" t="str">
        <f>'Journal Entries'!L63</f>
        <v>Posted</v>
      </c>
    </row>
    <row r="64" ht="15.75" customHeight="1">
      <c r="A64" s="46">
        <f>'Journal Entries'!B64</f>
        <v>45867</v>
      </c>
      <c r="B64" s="44" t="str">
        <f>'Journal Entries'!A64</f>
        <v>JE-031</v>
      </c>
      <c r="C64" s="44" t="str">
        <f>'Journal Entries'!D64</f>
        <v>HBL250729032</v>
      </c>
      <c r="D64" s="44">
        <f>'Journal Entries'!F64</f>
        <v>1060</v>
      </c>
      <c r="E64" s="44" t="str">
        <f>'Journal Entries'!G64</f>
        <v>GL not found</v>
      </c>
      <c r="F64" s="44" t="str">
        <f>'Journal Entries'!E64</f>
        <v>Online transfer - Legal and professional fee</v>
      </c>
      <c r="G64" s="47">
        <f>'Journal Entries'!H64</f>
        <v>125000</v>
      </c>
      <c r="H64" s="47">
        <f>'Journal Entries'!I64</f>
        <v>0</v>
      </c>
      <c r="I64" s="47">
        <f t="shared" si="1"/>
        <v>125000</v>
      </c>
      <c r="J64" s="47">
        <f t="shared" si="2"/>
        <v>125000</v>
      </c>
      <c r="K64" s="44" t="str">
        <f>'Journal Entries'!L64</f>
        <v>Posted</v>
      </c>
    </row>
    <row r="65" ht="15.75" customHeight="1">
      <c r="A65" s="46">
        <f>'Journal Entries'!B65</f>
        <v>45868</v>
      </c>
      <c r="B65" s="44" t="str">
        <f>'Journal Entries'!A65</f>
        <v>JE-032</v>
      </c>
      <c r="C65" s="44" t="str">
        <f>'Journal Entries'!D65</f>
        <v>HBL250730033</v>
      </c>
      <c r="D65" s="44">
        <f>'Journal Entries'!F65</f>
        <v>1029</v>
      </c>
      <c r="E65" s="44" t="str">
        <f>'Journal Entries'!G65</f>
        <v>GL not found</v>
      </c>
      <c r="F65" s="44" t="str">
        <f>'Journal Entries'!E65</f>
        <v>Profit credited on current-plus account</v>
      </c>
      <c r="G65" s="47">
        <f>'Journal Entries'!H65</f>
        <v>18450</v>
      </c>
      <c r="H65" s="47">
        <f>'Journal Entries'!I65</f>
        <v>0</v>
      </c>
      <c r="I65" s="47">
        <f t="shared" si="1"/>
        <v>18450</v>
      </c>
      <c r="J65" s="47">
        <f t="shared" si="2"/>
        <v>751155</v>
      </c>
      <c r="K65" s="44" t="str">
        <f>'Journal Entries'!L65</f>
        <v>Posted</v>
      </c>
    </row>
    <row r="66" ht="15.75" customHeight="1">
      <c r="A66" s="46">
        <f>'Journal Entries'!B66</f>
        <v>45868</v>
      </c>
      <c r="B66" s="44" t="str">
        <f>'Journal Entries'!A66</f>
        <v>JE-032</v>
      </c>
      <c r="C66" s="44" t="str">
        <f>'Journal Entries'!D66</f>
        <v>HBL250730033</v>
      </c>
      <c r="D66" s="44">
        <f>'Journal Entries'!F66</f>
        <v>1066</v>
      </c>
      <c r="E66" s="44" t="str">
        <f>'Journal Entries'!G66</f>
        <v>GL not found</v>
      </c>
      <c r="F66" s="44" t="str">
        <f>'Journal Entries'!E66</f>
        <v>Profit credited on current-plus account</v>
      </c>
      <c r="G66" s="47">
        <f>'Journal Entries'!H66</f>
        <v>0</v>
      </c>
      <c r="H66" s="47">
        <f>'Journal Entries'!I66</f>
        <v>18450</v>
      </c>
      <c r="I66" s="47">
        <f t="shared" si="1"/>
        <v>-18450</v>
      </c>
      <c r="J66" s="47">
        <f t="shared" si="2"/>
        <v>-18450</v>
      </c>
      <c r="K66" s="44" t="str">
        <f>'Journal Entries'!L66</f>
        <v>Posted</v>
      </c>
    </row>
    <row r="67" ht="15.75" customHeight="1">
      <c r="A67" s="46">
        <f>'Journal Entries'!B67</f>
        <v>45869</v>
      </c>
      <c r="B67" s="44" t="str">
        <f>'Journal Entries'!A67</f>
        <v>JE-033</v>
      </c>
      <c r="C67" s="44" t="str">
        <f>'Journal Entries'!D67</f>
        <v>HBL250731034</v>
      </c>
      <c r="D67" s="44">
        <f>'Journal Entries'!F67</f>
        <v>1029</v>
      </c>
      <c r="E67" s="44" t="str">
        <f>'Journal Entries'!G67</f>
        <v>GL not found</v>
      </c>
      <c r="F67" s="44" t="str">
        <f>'Journal Entries'!E67</f>
        <v>Zakat deduction on profit account</v>
      </c>
      <c r="G67" s="47">
        <f>'Journal Entries'!H67</f>
        <v>0</v>
      </c>
      <c r="H67" s="47">
        <f>'Journal Entries'!I67</f>
        <v>461</v>
      </c>
      <c r="I67" s="47">
        <f t="shared" si="1"/>
        <v>-461</v>
      </c>
      <c r="J67" s="47">
        <f t="shared" si="2"/>
        <v>750694</v>
      </c>
      <c r="K67" s="44" t="str">
        <f>'Journal Entries'!L67</f>
        <v>Posted</v>
      </c>
    </row>
    <row r="68" ht="15.75" customHeight="1">
      <c r="A68" s="46">
        <f>'Journal Entries'!B68</f>
        <v>45869</v>
      </c>
      <c r="B68" s="44" t="str">
        <f>'Journal Entries'!A68</f>
        <v>JE-033</v>
      </c>
      <c r="C68" s="44" t="str">
        <f>'Journal Entries'!D68</f>
        <v>HBL250731034</v>
      </c>
      <c r="D68" s="44">
        <f>'Journal Entries'!F68</f>
        <v>1068</v>
      </c>
      <c r="E68" s="44" t="str">
        <f>'Journal Entries'!G68</f>
        <v>GL not found</v>
      </c>
      <c r="F68" s="44" t="str">
        <f>'Journal Entries'!E68</f>
        <v>Zakat deduction on profit account</v>
      </c>
      <c r="G68" s="47">
        <f>'Journal Entries'!H68</f>
        <v>461</v>
      </c>
      <c r="H68" s="47">
        <f>'Journal Entries'!I68</f>
        <v>0</v>
      </c>
      <c r="I68" s="47">
        <f t="shared" si="1"/>
        <v>461</v>
      </c>
      <c r="J68" s="47">
        <f t="shared" si="2"/>
        <v>405311</v>
      </c>
      <c r="K68" s="44" t="str">
        <f>'Journal Entries'!L68</f>
        <v>Posted</v>
      </c>
    </row>
    <row r="69" ht="15.75" customHeight="1">
      <c r="A69" s="46">
        <f>'Journal Entries'!B69</f>
        <v>45869</v>
      </c>
      <c r="B69" s="44" t="str">
        <f>'Journal Entries'!A69</f>
        <v>JE-034</v>
      </c>
      <c r="C69" s="44" t="str">
        <f>'Journal Entries'!D69</f>
        <v>HBL250731035</v>
      </c>
      <c r="D69" s="44">
        <f>'Journal Entries'!F69</f>
        <v>1029</v>
      </c>
      <c r="E69" s="44" t="str">
        <f>'Journal Entries'!G69</f>
        <v>GL not found</v>
      </c>
      <c r="F69" s="44" t="str">
        <f>'Journal Entries'!E69</f>
        <v>Advance tax on bank profit</v>
      </c>
      <c r="G69" s="47">
        <f>'Journal Entries'!H69</f>
        <v>0</v>
      </c>
      <c r="H69" s="47">
        <f>'Journal Entries'!I69</f>
        <v>2768</v>
      </c>
      <c r="I69" s="47">
        <f t="shared" si="1"/>
        <v>-2768</v>
      </c>
      <c r="J69" s="47">
        <f t="shared" si="2"/>
        <v>747926</v>
      </c>
      <c r="K69" s="44" t="str">
        <f>'Journal Entries'!L69</f>
        <v>Posted</v>
      </c>
    </row>
    <row r="70" ht="15.75" customHeight="1">
      <c r="A70" s="46">
        <f>'Journal Entries'!B70</f>
        <v>45869</v>
      </c>
      <c r="B70" s="44" t="str">
        <f>'Journal Entries'!A70</f>
        <v>JE-034</v>
      </c>
      <c r="C70" s="44" t="str">
        <f>'Journal Entries'!D70</f>
        <v>HBL250731035</v>
      </c>
      <c r="D70" s="44">
        <f>'Journal Entries'!F70</f>
        <v>1045</v>
      </c>
      <c r="E70" s="44" t="str">
        <f>'Journal Entries'!G70</f>
        <v>GL not found</v>
      </c>
      <c r="F70" s="44" t="str">
        <f>'Journal Entries'!E70</f>
        <v>Advance tax on bank profit</v>
      </c>
      <c r="G70" s="47">
        <f>'Journal Entries'!H70</f>
        <v>2768</v>
      </c>
      <c r="H70" s="47">
        <f>'Journal Entries'!I70</f>
        <v>0</v>
      </c>
      <c r="I70" s="47">
        <f t="shared" si="1"/>
        <v>2768</v>
      </c>
      <c r="J70" s="47">
        <f t="shared" si="2"/>
        <v>2768</v>
      </c>
      <c r="K70" s="44" t="str">
        <f>'Journal Entries'!L70</f>
        <v>Posted</v>
      </c>
    </row>
    <row r="71" ht="15.75" customHeight="1">
      <c r="A71" s="46">
        <f>'Journal Entries'!B71</f>
        <v>45839</v>
      </c>
      <c r="B71" s="44" t="str">
        <f>'Journal Entries'!A71</f>
        <v>JE-035</v>
      </c>
      <c r="C71" s="44" t="str">
        <f>'Journal Entries'!D71</f>
        <v>MBL250701001</v>
      </c>
      <c r="D71" s="44">
        <f>'Journal Entries'!F71</f>
        <v>1030</v>
      </c>
      <c r="E71" s="44" t="str">
        <f>'Journal Entries'!G71</f>
        <v>GL not found</v>
      </c>
      <c r="F71" s="44" t="str">
        <f>'Journal Entries'!E71</f>
        <v>Opening-month cash deposit - payroll adjustments</v>
      </c>
      <c r="G71" s="47">
        <f>'Journal Entries'!H71</f>
        <v>25000</v>
      </c>
      <c r="H71" s="47">
        <f>'Journal Entries'!I71</f>
        <v>0</v>
      </c>
      <c r="I71" s="47">
        <f t="shared" si="1"/>
        <v>25000</v>
      </c>
      <c r="J71" s="47">
        <f t="shared" si="2"/>
        <v>1425000</v>
      </c>
      <c r="K71" s="44" t="str">
        <f>'Journal Entries'!L71</f>
        <v>Posted</v>
      </c>
    </row>
    <row r="72" ht="15.75" customHeight="1">
      <c r="A72" s="46">
        <f>'Journal Entries'!B72</f>
        <v>45839</v>
      </c>
      <c r="B72" s="44" t="str">
        <f>'Journal Entries'!A72</f>
        <v>JE-035</v>
      </c>
      <c r="C72" s="44" t="str">
        <f>'Journal Entries'!D72</f>
        <v>MBL250701001</v>
      </c>
      <c r="D72" s="44">
        <f>'Journal Entries'!F72</f>
        <v>1034</v>
      </c>
      <c r="E72" s="44" t="str">
        <f>'Journal Entries'!G72</f>
        <v>GL not found</v>
      </c>
      <c r="F72" s="44" t="str">
        <f>'Journal Entries'!E72</f>
        <v>Opening-month cash deposit - payroll adjustments</v>
      </c>
      <c r="G72" s="47">
        <f>'Journal Entries'!H72</f>
        <v>0</v>
      </c>
      <c r="H72" s="47">
        <f>'Journal Entries'!I72</f>
        <v>25000</v>
      </c>
      <c r="I72" s="47">
        <f t="shared" si="1"/>
        <v>-25000</v>
      </c>
      <c r="J72" s="47">
        <f t="shared" si="2"/>
        <v>-25000</v>
      </c>
      <c r="K72" s="44" t="str">
        <f>'Journal Entries'!L72</f>
        <v>Posted</v>
      </c>
    </row>
    <row r="73" ht="15.75" customHeight="1">
      <c r="A73" s="46">
        <f>'Journal Entries'!B73</f>
        <v>45840</v>
      </c>
      <c r="B73" s="44" t="str">
        <f>'Journal Entries'!A73</f>
        <v>JE-036</v>
      </c>
      <c r="C73" s="44" t="str">
        <f>'Journal Entries'!D73</f>
        <v>MBL250702002</v>
      </c>
      <c r="D73" s="44">
        <f>'Journal Entries'!F73</f>
        <v>1030</v>
      </c>
      <c r="E73" s="44" t="str">
        <f>'Journal Entries'!G73</f>
        <v>GL not found</v>
      </c>
      <c r="F73" s="44" t="str">
        <f>'Journal Entries'!E73</f>
        <v>IBFT - Employee reimbursement - A. Khan</v>
      </c>
      <c r="G73" s="47">
        <f>'Journal Entries'!H73</f>
        <v>0</v>
      </c>
      <c r="H73" s="47">
        <f>'Journal Entries'!I73</f>
        <v>18500</v>
      </c>
      <c r="I73" s="47">
        <f t="shared" si="1"/>
        <v>-18500</v>
      </c>
      <c r="J73" s="47">
        <f t="shared" si="2"/>
        <v>1406500</v>
      </c>
      <c r="K73" s="44" t="str">
        <f>'Journal Entries'!L73</f>
        <v>Posted</v>
      </c>
    </row>
    <row r="74" ht="15.75" customHeight="1">
      <c r="A74" s="46">
        <f>'Journal Entries'!B74</f>
        <v>45840</v>
      </c>
      <c r="B74" s="44" t="str">
        <f>'Journal Entries'!A74</f>
        <v>JE-036</v>
      </c>
      <c r="C74" s="44" t="str">
        <f>'Journal Entries'!D74</f>
        <v>MBL250702002</v>
      </c>
      <c r="D74" s="44">
        <f>'Journal Entries'!F74</f>
        <v>1068</v>
      </c>
      <c r="E74" s="44" t="str">
        <f>'Journal Entries'!G74</f>
        <v>GL not found</v>
      </c>
      <c r="F74" s="44" t="str">
        <f>'Journal Entries'!E74</f>
        <v>IBFT - Employee reimbursement - A. Khan</v>
      </c>
      <c r="G74" s="47">
        <f>'Journal Entries'!H74</f>
        <v>18500</v>
      </c>
      <c r="H74" s="47">
        <f>'Journal Entries'!I74</f>
        <v>0</v>
      </c>
      <c r="I74" s="47">
        <f t="shared" si="1"/>
        <v>18500</v>
      </c>
      <c r="J74" s="47">
        <f t="shared" si="2"/>
        <v>423811</v>
      </c>
      <c r="K74" s="44" t="str">
        <f>'Journal Entries'!L74</f>
        <v>Posted</v>
      </c>
    </row>
    <row r="75" ht="15.75" customHeight="1">
      <c r="A75" s="46">
        <f>'Journal Entries'!B75</f>
        <v>45841</v>
      </c>
      <c r="B75" s="44" t="str">
        <f>'Journal Entries'!A75</f>
        <v>JE-037</v>
      </c>
      <c r="C75" s="44" t="str">
        <f>'Journal Entries'!D75</f>
        <v>MBL250703003</v>
      </c>
      <c r="D75" s="44">
        <f>'Journal Entries'!F75</f>
        <v>1030</v>
      </c>
      <c r="E75" s="44" t="str">
        <f>'Journal Entries'!G75</f>
        <v>GL not found</v>
      </c>
      <c r="F75" s="44" t="str">
        <f>'Journal Entries'!E75</f>
        <v>IBFT - Rider incentive batch 01</v>
      </c>
      <c r="G75" s="47">
        <f>'Journal Entries'!H75</f>
        <v>0</v>
      </c>
      <c r="H75" s="47">
        <f>'Journal Entries'!I75</f>
        <v>96500</v>
      </c>
      <c r="I75" s="47">
        <f t="shared" si="1"/>
        <v>-96500</v>
      </c>
      <c r="J75" s="47">
        <f t="shared" si="2"/>
        <v>1310000</v>
      </c>
      <c r="K75" s="44" t="str">
        <f>'Journal Entries'!L75</f>
        <v>Posted</v>
      </c>
    </row>
    <row r="76" ht="15.75" customHeight="1">
      <c r="A76" s="46">
        <f>'Journal Entries'!B76</f>
        <v>45841</v>
      </c>
      <c r="B76" s="44" t="str">
        <f>'Journal Entries'!A76</f>
        <v>JE-037</v>
      </c>
      <c r="C76" s="44" t="str">
        <f>'Journal Entries'!D76</f>
        <v>MBL250703003</v>
      </c>
      <c r="D76" s="44">
        <f>'Journal Entries'!F76</f>
        <v>1056</v>
      </c>
      <c r="E76" s="44" t="str">
        <f>'Journal Entries'!G76</f>
        <v>GL not found</v>
      </c>
      <c r="F76" s="44" t="str">
        <f>'Journal Entries'!E76</f>
        <v>IBFT - Rider incentive batch 01</v>
      </c>
      <c r="G76" s="47">
        <f>'Journal Entries'!H76</f>
        <v>96500</v>
      </c>
      <c r="H76" s="47">
        <f>'Journal Entries'!I76</f>
        <v>0</v>
      </c>
      <c r="I76" s="47">
        <f t="shared" si="1"/>
        <v>96500</v>
      </c>
      <c r="J76" s="47">
        <f t="shared" si="2"/>
        <v>96500</v>
      </c>
      <c r="K76" s="44" t="str">
        <f>'Journal Entries'!L76</f>
        <v>Posted</v>
      </c>
    </row>
    <row r="77" ht="15.75" customHeight="1">
      <c r="A77" s="46">
        <f>'Journal Entries'!B77</f>
        <v>45842</v>
      </c>
      <c r="B77" s="44" t="str">
        <f>'Journal Entries'!A77</f>
        <v>JE-038</v>
      </c>
      <c r="C77" s="44" t="str">
        <f>'Journal Entries'!D77</f>
        <v>MBL250704004</v>
      </c>
      <c r="D77" s="44">
        <f>'Journal Entries'!F77</f>
        <v>1030</v>
      </c>
      <c r="E77" s="44" t="str">
        <f>'Journal Entries'!G77</f>
        <v>GL not found</v>
      </c>
      <c r="F77" s="44" t="str">
        <f>'Journal Entries'!E77</f>
        <v>Online payment - EOBI contribution June</v>
      </c>
      <c r="G77" s="47">
        <f>'Journal Entries'!H77</f>
        <v>0</v>
      </c>
      <c r="H77" s="47">
        <f>'Journal Entries'!I77</f>
        <v>68400</v>
      </c>
      <c r="I77" s="47">
        <f t="shared" si="1"/>
        <v>-68400</v>
      </c>
      <c r="J77" s="47">
        <f t="shared" si="2"/>
        <v>1241600</v>
      </c>
      <c r="K77" s="44" t="str">
        <f>'Journal Entries'!L77</f>
        <v>Posted</v>
      </c>
    </row>
    <row r="78" ht="15.75" customHeight="1">
      <c r="A78" s="46">
        <f>'Journal Entries'!B78</f>
        <v>45842</v>
      </c>
      <c r="B78" s="44" t="str">
        <f>'Journal Entries'!A78</f>
        <v>JE-038</v>
      </c>
      <c r="C78" s="44" t="str">
        <f>'Journal Entries'!D78</f>
        <v>MBL250704004</v>
      </c>
      <c r="D78" s="44">
        <f>'Journal Entries'!F78</f>
        <v>1034</v>
      </c>
      <c r="E78" s="44" t="str">
        <f>'Journal Entries'!G78</f>
        <v>GL not found</v>
      </c>
      <c r="F78" s="44" t="str">
        <f>'Journal Entries'!E78</f>
        <v>Online payment - EOBI contribution June</v>
      </c>
      <c r="G78" s="47">
        <f>'Journal Entries'!H78</f>
        <v>68400</v>
      </c>
      <c r="H78" s="47">
        <f>'Journal Entries'!I78</f>
        <v>0</v>
      </c>
      <c r="I78" s="47">
        <f t="shared" si="1"/>
        <v>68400</v>
      </c>
      <c r="J78" s="47">
        <f t="shared" si="2"/>
        <v>43400</v>
      </c>
      <c r="K78" s="44" t="str">
        <f>'Journal Entries'!L78</f>
        <v>Posted</v>
      </c>
    </row>
    <row r="79" ht="15.75" customHeight="1">
      <c r="A79" s="46">
        <f>'Journal Entries'!B79</f>
        <v>45843</v>
      </c>
      <c r="B79" s="44" t="str">
        <f>'Journal Entries'!A79</f>
        <v>JE-039</v>
      </c>
      <c r="C79" s="44" t="str">
        <f>'Journal Entries'!D79</f>
        <v>MBL250705005</v>
      </c>
      <c r="D79" s="44">
        <f>'Journal Entries'!F79</f>
        <v>1030</v>
      </c>
      <c r="E79" s="44" t="str">
        <f>'Journal Entries'!G79</f>
        <v>GL not found</v>
      </c>
      <c r="F79" s="44" t="str">
        <f>'Journal Entries'!E79</f>
        <v>Online payment - Social Security contribution June</v>
      </c>
      <c r="G79" s="47">
        <f>'Journal Entries'!H79</f>
        <v>0</v>
      </c>
      <c r="H79" s="47">
        <f>'Journal Entries'!I79</f>
        <v>42750</v>
      </c>
      <c r="I79" s="47">
        <f t="shared" si="1"/>
        <v>-42750</v>
      </c>
      <c r="J79" s="47">
        <f t="shared" si="2"/>
        <v>1198850</v>
      </c>
      <c r="K79" s="44" t="str">
        <f>'Journal Entries'!L79</f>
        <v>Posted</v>
      </c>
    </row>
    <row r="80" ht="15.75" customHeight="1">
      <c r="A80" s="46">
        <f>'Journal Entries'!B80</f>
        <v>45843</v>
      </c>
      <c r="B80" s="44" t="str">
        <f>'Journal Entries'!A80</f>
        <v>JE-039</v>
      </c>
      <c r="C80" s="44" t="str">
        <f>'Journal Entries'!D80</f>
        <v>MBL250705005</v>
      </c>
      <c r="D80" s="44">
        <f>'Journal Entries'!F80</f>
        <v>1034</v>
      </c>
      <c r="E80" s="44" t="str">
        <f>'Journal Entries'!G80</f>
        <v>GL not found</v>
      </c>
      <c r="F80" s="44" t="str">
        <f>'Journal Entries'!E80</f>
        <v>Online payment - Social Security contribution June</v>
      </c>
      <c r="G80" s="47">
        <f>'Journal Entries'!H80</f>
        <v>42750</v>
      </c>
      <c r="H80" s="47">
        <f>'Journal Entries'!I80</f>
        <v>0</v>
      </c>
      <c r="I80" s="47">
        <f t="shared" si="1"/>
        <v>42750</v>
      </c>
      <c r="J80" s="47">
        <f t="shared" si="2"/>
        <v>86150</v>
      </c>
      <c r="K80" s="44" t="str">
        <f>'Journal Entries'!L80</f>
        <v>Posted</v>
      </c>
    </row>
    <row r="81" ht="15.75" customHeight="1">
      <c r="A81" s="46">
        <f>'Journal Entries'!B81</f>
        <v>45845</v>
      </c>
      <c r="B81" s="44" t="str">
        <f>'Journal Entries'!A81</f>
        <v>JE-040</v>
      </c>
      <c r="C81" s="44" t="str">
        <f>'Journal Entries'!D81</f>
        <v>PAY250707A</v>
      </c>
      <c r="D81" s="44">
        <f>'Journal Entries'!F81</f>
        <v>1030</v>
      </c>
      <c r="E81" s="44" t="str">
        <f>'Journal Entries'!G81</f>
        <v>GL not found</v>
      </c>
      <c r="F81" s="44" t="str">
        <f>'Journal Entries'!E81</f>
        <v>Bulk salary transfer - July payroll batch A</v>
      </c>
      <c r="G81" s="47">
        <f>'Journal Entries'!H81</f>
        <v>0</v>
      </c>
      <c r="H81" s="47">
        <f>'Journal Entries'!I81</f>
        <v>625000</v>
      </c>
      <c r="I81" s="47">
        <f t="shared" si="1"/>
        <v>-625000</v>
      </c>
      <c r="J81" s="47">
        <f t="shared" si="2"/>
        <v>573850</v>
      </c>
      <c r="K81" s="44" t="str">
        <f>'Journal Entries'!L81</f>
        <v>Posted</v>
      </c>
    </row>
    <row r="82" ht="15.75" customHeight="1">
      <c r="A82" s="46">
        <f>'Journal Entries'!B82</f>
        <v>45845</v>
      </c>
      <c r="B82" s="44" t="str">
        <f>'Journal Entries'!A82</f>
        <v>JE-040</v>
      </c>
      <c r="C82" s="44" t="str">
        <f>'Journal Entries'!D82</f>
        <v>PAY250707A</v>
      </c>
      <c r="D82" s="44">
        <f>'Journal Entries'!F82</f>
        <v>1034</v>
      </c>
      <c r="E82" s="44" t="str">
        <f>'Journal Entries'!G82</f>
        <v>GL not found</v>
      </c>
      <c r="F82" s="44" t="str">
        <f>'Journal Entries'!E82</f>
        <v>Bulk salary transfer - July payroll batch A</v>
      </c>
      <c r="G82" s="47">
        <f>'Journal Entries'!H82</f>
        <v>625000</v>
      </c>
      <c r="H82" s="47">
        <f>'Journal Entries'!I82</f>
        <v>0</v>
      </c>
      <c r="I82" s="47">
        <f t="shared" si="1"/>
        <v>625000</v>
      </c>
      <c r="J82" s="47">
        <f t="shared" si="2"/>
        <v>711150</v>
      </c>
      <c r="K82" s="44" t="str">
        <f>'Journal Entries'!L82</f>
        <v>Posted</v>
      </c>
    </row>
    <row r="83" ht="15.75" customHeight="1">
      <c r="A83" s="46">
        <f>'Journal Entries'!B83</f>
        <v>45845</v>
      </c>
      <c r="B83" s="44" t="str">
        <f>'Journal Entries'!A83</f>
        <v>JE-041</v>
      </c>
      <c r="C83" s="44" t="str">
        <f>'Journal Entries'!D83</f>
        <v>MBL250707008</v>
      </c>
      <c r="D83" s="44">
        <f>'Journal Entries'!F83</f>
        <v>1030</v>
      </c>
      <c r="E83" s="44" t="str">
        <f>'Journal Entries'!G83</f>
        <v>GL not found</v>
      </c>
      <c r="F83" s="44" t="str">
        <f>'Journal Entries'!E83</f>
        <v>Payroll processing charges</v>
      </c>
      <c r="G83" s="47">
        <f>'Journal Entries'!H83</f>
        <v>0</v>
      </c>
      <c r="H83" s="47">
        <f>'Journal Entries'!I83</f>
        <v>3750</v>
      </c>
      <c r="I83" s="47">
        <f t="shared" si="1"/>
        <v>-3750</v>
      </c>
      <c r="J83" s="47">
        <f t="shared" si="2"/>
        <v>570100</v>
      </c>
      <c r="K83" s="44" t="str">
        <f>'Journal Entries'!L83</f>
        <v>Posted</v>
      </c>
    </row>
    <row r="84" ht="15.75" customHeight="1">
      <c r="A84" s="46">
        <f>'Journal Entries'!B84</f>
        <v>45845</v>
      </c>
      <c r="B84" s="44" t="str">
        <f>'Journal Entries'!A84</f>
        <v>JE-041</v>
      </c>
      <c r="C84" s="44" t="str">
        <f>'Journal Entries'!D84</f>
        <v>MBL250707008</v>
      </c>
      <c r="D84" s="44">
        <f>'Journal Entries'!F84</f>
        <v>1057</v>
      </c>
      <c r="E84" s="44" t="str">
        <f>'Journal Entries'!G84</f>
        <v>GL not found</v>
      </c>
      <c r="F84" s="44" t="str">
        <f>'Journal Entries'!E84</f>
        <v>Payroll processing charges</v>
      </c>
      <c r="G84" s="47">
        <f>'Journal Entries'!H84</f>
        <v>3750</v>
      </c>
      <c r="H84" s="47">
        <f>'Journal Entries'!I84</f>
        <v>0</v>
      </c>
      <c r="I84" s="47">
        <f t="shared" si="1"/>
        <v>3750</v>
      </c>
      <c r="J84" s="47">
        <f t="shared" si="2"/>
        <v>8845</v>
      </c>
      <c r="K84" s="44" t="str">
        <f>'Journal Entries'!L84</f>
        <v>Posted</v>
      </c>
    </row>
    <row r="85" ht="15.75" customHeight="1">
      <c r="A85" s="46">
        <f>'Journal Entries'!B85</f>
        <v>45845</v>
      </c>
      <c r="B85" s="44" t="str">
        <f>'Journal Entries'!A85</f>
        <v>JE-042</v>
      </c>
      <c r="C85" s="44" t="str">
        <f>'Journal Entries'!D85</f>
        <v>MBL250707009</v>
      </c>
      <c r="D85" s="44">
        <f>'Journal Entries'!F85</f>
        <v>1030</v>
      </c>
      <c r="E85" s="44" t="str">
        <f>'Journal Entries'!G85</f>
        <v>GL not found</v>
      </c>
      <c r="F85" s="44" t="str">
        <f>'Journal Entries'!E85</f>
        <v>FED on payroll processing charges</v>
      </c>
      <c r="G85" s="47">
        <f>'Journal Entries'!H85</f>
        <v>0</v>
      </c>
      <c r="H85" s="47">
        <f>'Journal Entries'!I85</f>
        <v>600</v>
      </c>
      <c r="I85" s="47">
        <f t="shared" si="1"/>
        <v>-600</v>
      </c>
      <c r="J85" s="47">
        <f t="shared" si="2"/>
        <v>569500</v>
      </c>
      <c r="K85" s="44" t="str">
        <f>'Journal Entries'!L85</f>
        <v>Posted</v>
      </c>
    </row>
    <row r="86" ht="15.75" customHeight="1">
      <c r="A86" s="46">
        <f>'Journal Entries'!B86</f>
        <v>45845</v>
      </c>
      <c r="B86" s="44" t="str">
        <f>'Journal Entries'!A86</f>
        <v>JE-042</v>
      </c>
      <c r="C86" s="44" t="str">
        <f>'Journal Entries'!D86</f>
        <v>MBL250707009</v>
      </c>
      <c r="D86" s="44">
        <f>'Journal Entries'!F86</f>
        <v>1068</v>
      </c>
      <c r="E86" s="44" t="str">
        <f>'Journal Entries'!G86</f>
        <v>GL not found</v>
      </c>
      <c r="F86" s="44" t="str">
        <f>'Journal Entries'!E86</f>
        <v>FED on payroll processing charges</v>
      </c>
      <c r="G86" s="47">
        <f>'Journal Entries'!H86</f>
        <v>600</v>
      </c>
      <c r="H86" s="47">
        <f>'Journal Entries'!I86</f>
        <v>0</v>
      </c>
      <c r="I86" s="47">
        <f t="shared" si="1"/>
        <v>600</v>
      </c>
      <c r="J86" s="47">
        <f t="shared" si="2"/>
        <v>424411</v>
      </c>
      <c r="K86" s="44" t="str">
        <f>'Journal Entries'!L86</f>
        <v>Posted</v>
      </c>
    </row>
    <row r="87" ht="15.75" customHeight="1">
      <c r="A87" s="46">
        <f>'Journal Entries'!B87</f>
        <v>45846</v>
      </c>
      <c r="B87" s="44" t="str">
        <f>'Journal Entries'!A87</f>
        <v>JE-043</v>
      </c>
      <c r="C87" s="44" t="str">
        <f>'Journal Entries'!D87</f>
        <v>MBL250708010</v>
      </c>
      <c r="D87" s="44">
        <f>'Journal Entries'!F87</f>
        <v>1030</v>
      </c>
      <c r="E87" s="44" t="str">
        <f>'Journal Entries'!G87</f>
        <v>GL not found</v>
      </c>
      <c r="F87" s="44" t="str">
        <f>'Journal Entries'!E87</f>
        <v>IBFT - Employee advance - M. Usman</v>
      </c>
      <c r="G87" s="47">
        <f>'Journal Entries'!H87</f>
        <v>0</v>
      </c>
      <c r="H87" s="47">
        <f>'Journal Entries'!I87</f>
        <v>30000</v>
      </c>
      <c r="I87" s="47">
        <f t="shared" si="1"/>
        <v>-30000</v>
      </c>
      <c r="J87" s="47">
        <f t="shared" si="2"/>
        <v>539500</v>
      </c>
      <c r="K87" s="44" t="str">
        <f>'Journal Entries'!L87</f>
        <v>Posted</v>
      </c>
    </row>
    <row r="88" ht="15.75" customHeight="1">
      <c r="A88" s="46">
        <f>'Journal Entries'!B88</f>
        <v>45846</v>
      </c>
      <c r="B88" s="44" t="str">
        <f>'Journal Entries'!A88</f>
        <v>JE-043</v>
      </c>
      <c r="C88" s="44" t="str">
        <f>'Journal Entries'!D88</f>
        <v>MBL250708010</v>
      </c>
      <c r="D88" s="44">
        <f>'Journal Entries'!F88</f>
        <v>1025</v>
      </c>
      <c r="E88" s="44" t="str">
        <f>'Journal Entries'!G88</f>
        <v>GL not found</v>
      </c>
      <c r="F88" s="44" t="str">
        <f>'Journal Entries'!E88</f>
        <v>IBFT - Employee advance - M. Usman</v>
      </c>
      <c r="G88" s="47">
        <f>'Journal Entries'!H88</f>
        <v>30000</v>
      </c>
      <c r="H88" s="47">
        <f>'Journal Entries'!I88</f>
        <v>0</v>
      </c>
      <c r="I88" s="47">
        <f t="shared" si="1"/>
        <v>30000</v>
      </c>
      <c r="J88" s="47">
        <f t="shared" si="2"/>
        <v>30000</v>
      </c>
      <c r="K88" s="44" t="str">
        <f>'Journal Entries'!L88</f>
        <v>Posted</v>
      </c>
    </row>
    <row r="89" ht="15.75" customHeight="1">
      <c r="A89" s="46">
        <f>'Journal Entries'!B89</f>
        <v>45848</v>
      </c>
      <c r="B89" s="44" t="str">
        <f>'Journal Entries'!A89</f>
        <v>JE-044</v>
      </c>
      <c r="C89" s="44" t="str">
        <f>'Journal Entries'!D89</f>
        <v>MBL250710011</v>
      </c>
      <c r="D89" s="44">
        <f>'Journal Entries'!F89</f>
        <v>1030</v>
      </c>
      <c r="E89" s="44" t="str">
        <f>'Journal Entries'!G89</f>
        <v>GL not found</v>
      </c>
      <c r="F89" s="44" t="str">
        <f>'Journal Entries'!E89</f>
        <v>Bulk transfer - Contract drivers settlement W27</v>
      </c>
      <c r="G89" s="47">
        <f>'Journal Entries'!H89</f>
        <v>0</v>
      </c>
      <c r="H89" s="47">
        <f>'Journal Entries'!I89</f>
        <v>156000</v>
      </c>
      <c r="I89" s="47">
        <f t="shared" si="1"/>
        <v>-156000</v>
      </c>
      <c r="J89" s="47">
        <f t="shared" si="2"/>
        <v>383500</v>
      </c>
      <c r="K89" s="44" t="str">
        <f>'Journal Entries'!L89</f>
        <v>Posted</v>
      </c>
    </row>
    <row r="90" ht="15.75" customHeight="1">
      <c r="A90" s="46">
        <f>'Journal Entries'!B90</f>
        <v>45848</v>
      </c>
      <c r="B90" s="44" t="str">
        <f>'Journal Entries'!A90</f>
        <v>JE-044</v>
      </c>
      <c r="C90" s="44" t="str">
        <f>'Journal Entries'!D90</f>
        <v>MBL250710011</v>
      </c>
      <c r="D90" s="44">
        <f>'Journal Entries'!F90</f>
        <v>1054</v>
      </c>
      <c r="E90" s="44" t="str">
        <f>'Journal Entries'!G90</f>
        <v>GL not found</v>
      </c>
      <c r="F90" s="44" t="str">
        <f>'Journal Entries'!E90</f>
        <v>Bulk transfer - Contract drivers settlement W27</v>
      </c>
      <c r="G90" s="47">
        <f>'Journal Entries'!H90</f>
        <v>156000</v>
      </c>
      <c r="H90" s="47">
        <f>'Journal Entries'!I90</f>
        <v>0</v>
      </c>
      <c r="I90" s="47">
        <f t="shared" si="1"/>
        <v>156000</v>
      </c>
      <c r="J90" s="47">
        <f t="shared" si="2"/>
        <v>491000</v>
      </c>
      <c r="K90" s="44" t="str">
        <f>'Journal Entries'!L90</f>
        <v>Posted</v>
      </c>
    </row>
    <row r="91" ht="15.75" customHeight="1">
      <c r="A91" s="46">
        <f>'Journal Entries'!B91</f>
        <v>45849</v>
      </c>
      <c r="B91" s="44" t="str">
        <f>'Journal Entries'!A91</f>
        <v>JE-045</v>
      </c>
      <c r="C91" s="44" t="str">
        <f>'Journal Entries'!D91</f>
        <v>MBL250711012</v>
      </c>
      <c r="D91" s="44">
        <f>'Journal Entries'!F91</f>
        <v>1030</v>
      </c>
      <c r="E91" s="44" t="str">
        <f>'Journal Entries'!G91</f>
        <v>GL not found</v>
      </c>
      <c r="F91" s="44" t="str">
        <f>'Journal Entries'!E91</f>
        <v>Raast reversal - failed driver payment W27</v>
      </c>
      <c r="G91" s="47">
        <f>'Journal Entries'!H91</f>
        <v>12000</v>
      </c>
      <c r="H91" s="47">
        <f>'Journal Entries'!I91</f>
        <v>0</v>
      </c>
      <c r="I91" s="47">
        <f t="shared" si="1"/>
        <v>12000</v>
      </c>
      <c r="J91" s="47">
        <f t="shared" si="2"/>
        <v>395500</v>
      </c>
      <c r="K91" s="44" t="str">
        <f>'Journal Entries'!L91</f>
        <v>Posted</v>
      </c>
    </row>
    <row r="92" ht="15.75" customHeight="1">
      <c r="A92" s="46">
        <f>'Journal Entries'!B92</f>
        <v>45849</v>
      </c>
      <c r="B92" s="44" t="str">
        <f>'Journal Entries'!A92</f>
        <v>JE-045</v>
      </c>
      <c r="C92" s="44" t="str">
        <f>'Journal Entries'!D92</f>
        <v>MBL250711012</v>
      </c>
      <c r="D92" s="44">
        <f>'Journal Entries'!F92</f>
        <v>1054</v>
      </c>
      <c r="E92" s="44" t="str">
        <f>'Journal Entries'!G92</f>
        <v>GL not found</v>
      </c>
      <c r="F92" s="44" t="str">
        <f>'Journal Entries'!E92</f>
        <v>Raast reversal - failed driver payment W27</v>
      </c>
      <c r="G92" s="47">
        <f>'Journal Entries'!H92</f>
        <v>0</v>
      </c>
      <c r="H92" s="47">
        <f>'Journal Entries'!I92</f>
        <v>12000</v>
      </c>
      <c r="I92" s="47">
        <f t="shared" si="1"/>
        <v>-12000</v>
      </c>
      <c r="J92" s="47">
        <f t="shared" si="2"/>
        <v>479000</v>
      </c>
      <c r="K92" s="44" t="str">
        <f>'Journal Entries'!L92</f>
        <v>Posted</v>
      </c>
    </row>
    <row r="93" ht="15.75" customHeight="1">
      <c r="A93" s="46">
        <f>'Journal Entries'!B93</f>
        <v>45850</v>
      </c>
      <c r="B93" s="44" t="str">
        <f>'Journal Entries'!A93</f>
        <v>JE-046</v>
      </c>
      <c r="C93" s="44" t="str">
        <f>'Journal Entries'!D93</f>
        <v>MBL250712013</v>
      </c>
      <c r="D93" s="44">
        <f>'Journal Entries'!F93</f>
        <v>1030</v>
      </c>
      <c r="E93" s="44" t="str">
        <f>'Journal Entries'!G93</f>
        <v>GL not found</v>
      </c>
      <c r="F93" s="44" t="str">
        <f>'Journal Entries'!E93</f>
        <v>Raast retry - driver payment W27</v>
      </c>
      <c r="G93" s="47">
        <f>'Journal Entries'!H93</f>
        <v>0</v>
      </c>
      <c r="H93" s="47">
        <f>'Journal Entries'!I93</f>
        <v>12000</v>
      </c>
      <c r="I93" s="47">
        <f t="shared" si="1"/>
        <v>-12000</v>
      </c>
      <c r="J93" s="47">
        <f t="shared" si="2"/>
        <v>383500</v>
      </c>
      <c r="K93" s="44" t="str">
        <f>'Journal Entries'!L93</f>
        <v>Posted</v>
      </c>
    </row>
    <row r="94" ht="15.75" customHeight="1">
      <c r="A94" s="46">
        <f>'Journal Entries'!B94</f>
        <v>45850</v>
      </c>
      <c r="B94" s="44" t="str">
        <f>'Journal Entries'!A94</f>
        <v>JE-046</v>
      </c>
      <c r="C94" s="44" t="str">
        <f>'Journal Entries'!D94</f>
        <v>MBL250712013</v>
      </c>
      <c r="D94" s="44">
        <f>'Journal Entries'!F94</f>
        <v>1054</v>
      </c>
      <c r="E94" s="44" t="str">
        <f>'Journal Entries'!G94</f>
        <v>GL not found</v>
      </c>
      <c r="F94" s="44" t="str">
        <f>'Journal Entries'!E94</f>
        <v>Raast retry - driver payment W27</v>
      </c>
      <c r="G94" s="47">
        <f>'Journal Entries'!H94</f>
        <v>12000</v>
      </c>
      <c r="H94" s="47">
        <f>'Journal Entries'!I94</f>
        <v>0</v>
      </c>
      <c r="I94" s="47">
        <f t="shared" si="1"/>
        <v>12000</v>
      </c>
      <c r="J94" s="47">
        <f t="shared" si="2"/>
        <v>491000</v>
      </c>
      <c r="K94" s="44" t="str">
        <f>'Journal Entries'!L94</f>
        <v>Posted</v>
      </c>
    </row>
    <row r="95" ht="15.75" customHeight="1">
      <c r="A95" s="46">
        <f>'Journal Entries'!B95</f>
        <v>45852</v>
      </c>
      <c r="B95" s="44" t="str">
        <f>'Journal Entries'!A95</f>
        <v>JE-047</v>
      </c>
      <c r="C95" s="44" t="str">
        <f>'Journal Entries'!D95</f>
        <v>MBL250714014</v>
      </c>
      <c r="D95" s="44">
        <f>'Journal Entries'!F95</f>
        <v>1030</v>
      </c>
      <c r="E95" s="44" t="str">
        <f>'Journal Entries'!G95</f>
        <v>GL not found</v>
      </c>
      <c r="F95" s="44" t="str">
        <f>'Journal Entries'!E95</f>
        <v>IBFT - Staff travel advance - Lahore operations</v>
      </c>
      <c r="G95" s="47">
        <f>'Journal Entries'!H95</f>
        <v>0</v>
      </c>
      <c r="H95" s="47">
        <f>'Journal Entries'!I95</f>
        <v>45000</v>
      </c>
      <c r="I95" s="47">
        <f t="shared" si="1"/>
        <v>-45000</v>
      </c>
      <c r="J95" s="47">
        <f t="shared" si="2"/>
        <v>338500</v>
      </c>
      <c r="K95" s="44" t="str">
        <f>'Journal Entries'!L95</f>
        <v>Posted</v>
      </c>
    </row>
    <row r="96" ht="15.75" customHeight="1">
      <c r="A96" s="46">
        <f>'Journal Entries'!B96</f>
        <v>45852</v>
      </c>
      <c r="B96" s="44" t="str">
        <f>'Journal Entries'!A96</f>
        <v>JE-047</v>
      </c>
      <c r="C96" s="44" t="str">
        <f>'Journal Entries'!D96</f>
        <v>MBL250714014</v>
      </c>
      <c r="D96" s="44">
        <f>'Journal Entries'!F96</f>
        <v>1025</v>
      </c>
      <c r="E96" s="44" t="str">
        <f>'Journal Entries'!G96</f>
        <v>GL not found</v>
      </c>
      <c r="F96" s="44" t="str">
        <f>'Journal Entries'!E96</f>
        <v>IBFT - Staff travel advance - Lahore operations</v>
      </c>
      <c r="G96" s="47">
        <f>'Journal Entries'!H96</f>
        <v>45000</v>
      </c>
      <c r="H96" s="47">
        <f>'Journal Entries'!I96</f>
        <v>0</v>
      </c>
      <c r="I96" s="47">
        <f t="shared" si="1"/>
        <v>45000</v>
      </c>
      <c r="J96" s="47">
        <f t="shared" si="2"/>
        <v>75000</v>
      </c>
      <c r="K96" s="44" t="str">
        <f>'Journal Entries'!L96</f>
        <v>Posted</v>
      </c>
    </row>
    <row r="97" ht="15.75" customHeight="1">
      <c r="A97" s="46">
        <f>'Journal Entries'!B97</f>
        <v>45854</v>
      </c>
      <c r="B97" s="44" t="str">
        <f>'Journal Entries'!A97</f>
        <v>JE-048</v>
      </c>
      <c r="C97" s="44" t="str">
        <f>'Journal Entries'!D97</f>
        <v>CD250716</v>
      </c>
      <c r="D97" s="44">
        <f>'Journal Entries'!F97</f>
        <v>1030</v>
      </c>
      <c r="E97" s="44" t="str">
        <f>'Journal Entries'!G97</f>
        <v>GL not found</v>
      </c>
      <c r="F97" s="44" t="str">
        <f>'Journal Entries'!E97</f>
        <v>Cash deposit - unused staff advance returned</v>
      </c>
      <c r="G97" s="47">
        <f>'Journal Entries'!H97</f>
        <v>7500</v>
      </c>
      <c r="H97" s="47">
        <f>'Journal Entries'!I97</f>
        <v>0</v>
      </c>
      <c r="I97" s="47">
        <f t="shared" si="1"/>
        <v>7500</v>
      </c>
      <c r="J97" s="47">
        <f t="shared" si="2"/>
        <v>346000</v>
      </c>
      <c r="K97" s="44" t="str">
        <f>'Journal Entries'!L97</f>
        <v>Posted</v>
      </c>
    </row>
    <row r="98" ht="15.75" customHeight="1">
      <c r="A98" s="46">
        <f>'Journal Entries'!B98</f>
        <v>45854</v>
      </c>
      <c r="B98" s="44" t="str">
        <f>'Journal Entries'!A98</f>
        <v>JE-048</v>
      </c>
      <c r="C98" s="44" t="str">
        <f>'Journal Entries'!D98</f>
        <v>CD250716</v>
      </c>
      <c r="D98" s="44">
        <f>'Journal Entries'!F98</f>
        <v>1025</v>
      </c>
      <c r="E98" s="44" t="str">
        <f>'Journal Entries'!G98</f>
        <v>GL not found</v>
      </c>
      <c r="F98" s="44" t="str">
        <f>'Journal Entries'!E98</f>
        <v>Cash deposit - unused staff advance returned</v>
      </c>
      <c r="G98" s="47">
        <f>'Journal Entries'!H98</f>
        <v>0</v>
      </c>
      <c r="H98" s="47">
        <f>'Journal Entries'!I98</f>
        <v>7500</v>
      </c>
      <c r="I98" s="47">
        <f t="shared" si="1"/>
        <v>-7500</v>
      </c>
      <c r="J98" s="47">
        <f t="shared" si="2"/>
        <v>67500</v>
      </c>
      <c r="K98" s="44" t="str">
        <f>'Journal Entries'!L98</f>
        <v>Posted</v>
      </c>
    </row>
    <row r="99" ht="15.75" customHeight="1">
      <c r="A99" s="46">
        <f>'Journal Entries'!B99</f>
        <v>45856</v>
      </c>
      <c r="B99" s="44" t="str">
        <f>'Journal Entries'!A99</f>
        <v>JE-049</v>
      </c>
      <c r="C99" s="44" t="str">
        <f>'Journal Entries'!D99</f>
        <v>MBL250718016</v>
      </c>
      <c r="D99" s="44">
        <f>'Journal Entries'!F99</f>
        <v>1030</v>
      </c>
      <c r="E99" s="44" t="str">
        <f>'Journal Entries'!G99</f>
        <v>GL not found</v>
      </c>
      <c r="F99" s="44" t="str">
        <f>'Journal Entries'!E99</f>
        <v>Bulk transfer - Contract drivers settlement W28</v>
      </c>
      <c r="G99" s="47">
        <f>'Journal Entries'!H99</f>
        <v>0</v>
      </c>
      <c r="H99" s="47">
        <f>'Journal Entries'!I99</f>
        <v>142500</v>
      </c>
      <c r="I99" s="47">
        <f t="shared" si="1"/>
        <v>-142500</v>
      </c>
      <c r="J99" s="47">
        <f t="shared" si="2"/>
        <v>203500</v>
      </c>
      <c r="K99" s="44" t="str">
        <f>'Journal Entries'!L99</f>
        <v>Posted</v>
      </c>
    </row>
    <row r="100" ht="15.75" customHeight="1">
      <c r="A100" s="46">
        <f>'Journal Entries'!B100</f>
        <v>45856</v>
      </c>
      <c r="B100" s="44" t="str">
        <f>'Journal Entries'!A100</f>
        <v>JE-049</v>
      </c>
      <c r="C100" s="44" t="str">
        <f>'Journal Entries'!D100</f>
        <v>MBL250718016</v>
      </c>
      <c r="D100" s="44">
        <f>'Journal Entries'!F100</f>
        <v>1054</v>
      </c>
      <c r="E100" s="44" t="str">
        <f>'Journal Entries'!G100</f>
        <v>GL not found</v>
      </c>
      <c r="F100" s="44" t="str">
        <f>'Journal Entries'!E100</f>
        <v>Bulk transfer - Contract drivers settlement W28</v>
      </c>
      <c r="G100" s="47">
        <f>'Journal Entries'!H100</f>
        <v>142500</v>
      </c>
      <c r="H100" s="47">
        <f>'Journal Entries'!I100</f>
        <v>0</v>
      </c>
      <c r="I100" s="47">
        <f t="shared" si="1"/>
        <v>142500</v>
      </c>
      <c r="J100" s="47">
        <f t="shared" si="2"/>
        <v>633500</v>
      </c>
      <c r="K100" s="44" t="str">
        <f>'Journal Entries'!L100</f>
        <v>Posted</v>
      </c>
    </row>
    <row r="101" ht="15.75" customHeight="1">
      <c r="A101" s="46">
        <f>'Journal Entries'!B101</f>
        <v>45859</v>
      </c>
      <c r="B101" s="44" t="str">
        <f>'Journal Entries'!A101</f>
        <v>JE-050</v>
      </c>
      <c r="C101" s="44" t="str">
        <f>'Journal Entries'!D101</f>
        <v>PAY250721B</v>
      </c>
      <c r="D101" s="44">
        <f>'Journal Entries'!F101</f>
        <v>1030</v>
      </c>
      <c r="E101" s="44" t="str">
        <f>'Journal Entries'!G101</f>
        <v>GL not found</v>
      </c>
      <c r="F101" s="44" t="str">
        <f>'Journal Entries'!E101</f>
        <v>Bulk salary transfer - July payroll batch B</v>
      </c>
      <c r="G101" s="47">
        <f>'Journal Entries'!H101</f>
        <v>0</v>
      </c>
      <c r="H101" s="47">
        <f>'Journal Entries'!I101</f>
        <v>245000</v>
      </c>
      <c r="I101" s="47">
        <f t="shared" si="1"/>
        <v>-245000</v>
      </c>
      <c r="J101" s="47">
        <f t="shared" si="2"/>
        <v>-41500</v>
      </c>
      <c r="K101" s="44" t="str">
        <f>'Journal Entries'!L101</f>
        <v>Posted</v>
      </c>
    </row>
    <row r="102" ht="15.75" customHeight="1">
      <c r="A102" s="46">
        <f>'Journal Entries'!B102</f>
        <v>45859</v>
      </c>
      <c r="B102" s="44" t="str">
        <f>'Journal Entries'!A102</f>
        <v>JE-050</v>
      </c>
      <c r="C102" s="44" t="str">
        <f>'Journal Entries'!D102</f>
        <v>PAY250721B</v>
      </c>
      <c r="D102" s="44">
        <f>'Journal Entries'!F102</f>
        <v>1034</v>
      </c>
      <c r="E102" s="44" t="str">
        <f>'Journal Entries'!G102</f>
        <v>GL not found</v>
      </c>
      <c r="F102" s="44" t="str">
        <f>'Journal Entries'!E102</f>
        <v>Bulk salary transfer - July payroll batch B</v>
      </c>
      <c r="G102" s="47">
        <f>'Journal Entries'!H102</f>
        <v>245000</v>
      </c>
      <c r="H102" s="47">
        <f>'Journal Entries'!I102</f>
        <v>0</v>
      </c>
      <c r="I102" s="47">
        <f t="shared" si="1"/>
        <v>245000</v>
      </c>
      <c r="J102" s="47">
        <f t="shared" si="2"/>
        <v>956150</v>
      </c>
      <c r="K102" s="44" t="str">
        <f>'Journal Entries'!L102</f>
        <v>Posted</v>
      </c>
    </row>
    <row r="103" ht="15.75" customHeight="1">
      <c r="A103" s="46">
        <f>'Journal Entries'!B103</f>
        <v>45860</v>
      </c>
      <c r="B103" s="44" t="str">
        <f>'Journal Entries'!A103</f>
        <v>JE-051</v>
      </c>
      <c r="C103" s="44" t="str">
        <f>'Journal Entries'!D103</f>
        <v>MBL250722019</v>
      </c>
      <c r="D103" s="44">
        <f>'Journal Entries'!F103</f>
        <v>1030</v>
      </c>
      <c r="E103" s="44" t="str">
        <f>'Journal Entries'!G103</f>
        <v>GL not found</v>
      </c>
      <c r="F103" s="44" t="str">
        <f>'Journal Entries'!E103</f>
        <v>IBFT - Employee medical reimbursement</v>
      </c>
      <c r="G103" s="47">
        <f>'Journal Entries'!H103</f>
        <v>0</v>
      </c>
      <c r="H103" s="47">
        <f>'Journal Entries'!I103</f>
        <v>22000</v>
      </c>
      <c r="I103" s="47">
        <f t="shared" si="1"/>
        <v>-22000</v>
      </c>
      <c r="J103" s="47">
        <f t="shared" si="2"/>
        <v>-63500</v>
      </c>
      <c r="K103" s="44" t="str">
        <f>'Journal Entries'!L103</f>
        <v>Posted</v>
      </c>
    </row>
    <row r="104" ht="15.75" customHeight="1">
      <c r="A104" s="46">
        <f>'Journal Entries'!B104</f>
        <v>45860</v>
      </c>
      <c r="B104" s="44" t="str">
        <f>'Journal Entries'!A104</f>
        <v>JE-051</v>
      </c>
      <c r="C104" s="44" t="str">
        <f>'Journal Entries'!D104</f>
        <v>MBL250722019</v>
      </c>
      <c r="D104" s="44">
        <f>'Journal Entries'!F104</f>
        <v>1068</v>
      </c>
      <c r="E104" s="44" t="str">
        <f>'Journal Entries'!G104</f>
        <v>GL not found</v>
      </c>
      <c r="F104" s="44" t="str">
        <f>'Journal Entries'!E104</f>
        <v>IBFT - Employee medical reimbursement</v>
      </c>
      <c r="G104" s="47">
        <f>'Journal Entries'!H104</f>
        <v>22000</v>
      </c>
      <c r="H104" s="47">
        <f>'Journal Entries'!I104</f>
        <v>0</v>
      </c>
      <c r="I104" s="47">
        <f t="shared" si="1"/>
        <v>22000</v>
      </c>
      <c r="J104" s="47">
        <f t="shared" si="2"/>
        <v>446411</v>
      </c>
      <c r="K104" s="44" t="str">
        <f>'Journal Entries'!L104</f>
        <v>Posted</v>
      </c>
    </row>
    <row r="105" ht="15.75" customHeight="1">
      <c r="A105" s="46">
        <f>'Journal Entries'!B105</f>
        <v>45862</v>
      </c>
      <c r="B105" s="44" t="str">
        <f>'Journal Entries'!A105</f>
        <v>JE-052</v>
      </c>
      <c r="C105" s="44" t="str">
        <f>'Journal Entries'!D105</f>
        <v>MBL250724020</v>
      </c>
      <c r="D105" s="44">
        <f>'Journal Entries'!F105</f>
        <v>1030</v>
      </c>
      <c r="E105" s="44" t="str">
        <f>'Journal Entries'!G105</f>
        <v>GL not found</v>
      </c>
      <c r="F105" s="44" t="str">
        <f>'Journal Entries'!E105</f>
        <v>Bulk transfer - Contract drivers settlement W29</v>
      </c>
      <c r="G105" s="47">
        <f>'Journal Entries'!H105</f>
        <v>0</v>
      </c>
      <c r="H105" s="47">
        <f>'Journal Entries'!I105</f>
        <v>138000</v>
      </c>
      <c r="I105" s="47">
        <f t="shared" si="1"/>
        <v>-138000</v>
      </c>
      <c r="J105" s="47">
        <f t="shared" si="2"/>
        <v>-201500</v>
      </c>
      <c r="K105" s="44" t="str">
        <f>'Journal Entries'!L105</f>
        <v>Posted</v>
      </c>
    </row>
    <row r="106" ht="15.75" customHeight="1">
      <c r="A106" s="46">
        <f>'Journal Entries'!B106</f>
        <v>45862</v>
      </c>
      <c r="B106" s="44" t="str">
        <f>'Journal Entries'!A106</f>
        <v>JE-052</v>
      </c>
      <c r="C106" s="44" t="str">
        <f>'Journal Entries'!D106</f>
        <v>MBL250724020</v>
      </c>
      <c r="D106" s="44">
        <f>'Journal Entries'!F106</f>
        <v>1054</v>
      </c>
      <c r="E106" s="44" t="str">
        <f>'Journal Entries'!G106</f>
        <v>GL not found</v>
      </c>
      <c r="F106" s="44" t="str">
        <f>'Journal Entries'!E106</f>
        <v>Bulk transfer - Contract drivers settlement W29</v>
      </c>
      <c r="G106" s="47">
        <f>'Journal Entries'!H106</f>
        <v>138000</v>
      </c>
      <c r="H106" s="47">
        <f>'Journal Entries'!I106</f>
        <v>0</v>
      </c>
      <c r="I106" s="47">
        <f t="shared" si="1"/>
        <v>138000</v>
      </c>
      <c r="J106" s="47">
        <f t="shared" si="2"/>
        <v>771500</v>
      </c>
      <c r="K106" s="44" t="str">
        <f>'Journal Entries'!L106</f>
        <v>Posted</v>
      </c>
    </row>
    <row r="107" ht="15.75" customHeight="1">
      <c r="A107" s="46">
        <f>'Journal Entries'!B107</f>
        <v>45863</v>
      </c>
      <c r="B107" s="44" t="str">
        <f>'Journal Entries'!A107</f>
        <v>JE-053</v>
      </c>
      <c r="C107" s="44" t="str">
        <f>'Journal Entries'!D107</f>
        <v>MBL250725021</v>
      </c>
      <c r="D107" s="44">
        <f>'Journal Entries'!F107</f>
        <v>1030</v>
      </c>
      <c r="E107" s="44" t="str">
        <f>'Journal Entries'!G107</f>
        <v>GL not found</v>
      </c>
      <c r="F107" s="44" t="str">
        <f>'Journal Entries'!E107</f>
        <v>Raast CR - employee advance recovery</v>
      </c>
      <c r="G107" s="47">
        <f>'Journal Entries'!H107</f>
        <v>10000</v>
      </c>
      <c r="H107" s="47">
        <f>'Journal Entries'!I107</f>
        <v>0</v>
      </c>
      <c r="I107" s="47">
        <f t="shared" si="1"/>
        <v>10000</v>
      </c>
      <c r="J107" s="47">
        <f t="shared" si="2"/>
        <v>-191500</v>
      </c>
      <c r="K107" s="44" t="str">
        <f>'Journal Entries'!L107</f>
        <v>Posted</v>
      </c>
    </row>
    <row r="108" ht="15.75" customHeight="1">
      <c r="A108" s="46">
        <f>'Journal Entries'!B108</f>
        <v>45863</v>
      </c>
      <c r="B108" s="44" t="str">
        <f>'Journal Entries'!A108</f>
        <v>JE-053</v>
      </c>
      <c r="C108" s="44" t="str">
        <f>'Journal Entries'!D108</f>
        <v>MBL250725021</v>
      </c>
      <c r="D108" s="44">
        <f>'Journal Entries'!F108</f>
        <v>1025</v>
      </c>
      <c r="E108" s="44" t="str">
        <f>'Journal Entries'!G108</f>
        <v>GL not found</v>
      </c>
      <c r="F108" s="44" t="str">
        <f>'Journal Entries'!E108</f>
        <v>Raast CR - employee advance recovery</v>
      </c>
      <c r="G108" s="47">
        <f>'Journal Entries'!H108</f>
        <v>0</v>
      </c>
      <c r="H108" s="47">
        <f>'Journal Entries'!I108</f>
        <v>10000</v>
      </c>
      <c r="I108" s="47">
        <f t="shared" si="1"/>
        <v>-10000</v>
      </c>
      <c r="J108" s="47">
        <f t="shared" si="2"/>
        <v>57500</v>
      </c>
      <c r="K108" s="44" t="str">
        <f>'Journal Entries'!L108</f>
        <v>Posted</v>
      </c>
    </row>
    <row r="109" ht="15.75" customHeight="1">
      <c r="A109" s="46">
        <f>'Journal Entries'!B109</f>
        <v>45866</v>
      </c>
      <c r="B109" s="44" t="str">
        <f>'Journal Entries'!A109</f>
        <v>JE-054</v>
      </c>
      <c r="C109" s="44" t="str">
        <f>'Journal Entries'!D109</f>
        <v>MBL250728022</v>
      </c>
      <c r="D109" s="44">
        <f>'Journal Entries'!F109</f>
        <v>1030</v>
      </c>
      <c r="E109" s="44" t="str">
        <f>'Journal Entries'!G109</f>
        <v>GL not found</v>
      </c>
      <c r="F109" s="44" t="str">
        <f>'Journal Entries'!E109</f>
        <v>IBFT - Final settlement - Former employee</v>
      </c>
      <c r="G109" s="47">
        <f>'Journal Entries'!H109</f>
        <v>0</v>
      </c>
      <c r="H109" s="47">
        <f>'Journal Entries'!I109</f>
        <v>78500</v>
      </c>
      <c r="I109" s="47">
        <f t="shared" si="1"/>
        <v>-78500</v>
      </c>
      <c r="J109" s="47">
        <f t="shared" si="2"/>
        <v>-270000</v>
      </c>
      <c r="K109" s="44" t="str">
        <f>'Journal Entries'!L109</f>
        <v>Posted</v>
      </c>
    </row>
    <row r="110" ht="15.75" customHeight="1">
      <c r="A110" s="46">
        <f>'Journal Entries'!B110</f>
        <v>45866</v>
      </c>
      <c r="B110" s="44" t="str">
        <f>'Journal Entries'!A110</f>
        <v>JE-054</v>
      </c>
      <c r="C110" s="44" t="str">
        <f>'Journal Entries'!D110</f>
        <v>MBL250728022</v>
      </c>
      <c r="D110" s="44">
        <f>'Journal Entries'!F110</f>
        <v>1034</v>
      </c>
      <c r="E110" s="44" t="str">
        <f>'Journal Entries'!G110</f>
        <v>GL not found</v>
      </c>
      <c r="F110" s="44" t="str">
        <f>'Journal Entries'!E110</f>
        <v>IBFT - Final settlement - Former employee</v>
      </c>
      <c r="G110" s="47">
        <f>'Journal Entries'!H110</f>
        <v>78500</v>
      </c>
      <c r="H110" s="47">
        <f>'Journal Entries'!I110</f>
        <v>0</v>
      </c>
      <c r="I110" s="47">
        <f t="shared" si="1"/>
        <v>78500</v>
      </c>
      <c r="J110" s="47">
        <f t="shared" si="2"/>
        <v>1034650</v>
      </c>
      <c r="K110" s="44" t="str">
        <f>'Journal Entries'!L110</f>
        <v>Posted</v>
      </c>
    </row>
    <row r="111" ht="15.75" customHeight="1">
      <c r="A111" s="46">
        <f>'Journal Entries'!B111</f>
        <v>45867</v>
      </c>
      <c r="B111" s="44" t="str">
        <f>'Journal Entries'!A111</f>
        <v>JE-055</v>
      </c>
      <c r="C111" s="44" t="str">
        <f>'Journal Entries'!D111</f>
        <v>MBL250729023</v>
      </c>
      <c r="D111" s="44">
        <f>'Journal Entries'!F111</f>
        <v>1030</v>
      </c>
      <c r="E111" s="44" t="str">
        <f>'Journal Entries'!G111</f>
        <v>GL not found</v>
      </c>
      <c r="F111" s="44" t="str">
        <f>'Journal Entries'!E111</f>
        <v>Bulk transfer - Contract drivers settlement W30</v>
      </c>
      <c r="G111" s="47">
        <f>'Journal Entries'!H111</f>
        <v>0</v>
      </c>
      <c r="H111" s="47">
        <f>'Journal Entries'!I111</f>
        <v>149000</v>
      </c>
      <c r="I111" s="47">
        <f t="shared" si="1"/>
        <v>-149000</v>
      </c>
      <c r="J111" s="47">
        <f t="shared" si="2"/>
        <v>-419000</v>
      </c>
      <c r="K111" s="44" t="str">
        <f>'Journal Entries'!L111</f>
        <v>Posted</v>
      </c>
    </row>
    <row r="112" ht="15.75" customHeight="1">
      <c r="A112" s="46">
        <f>'Journal Entries'!B112</f>
        <v>45867</v>
      </c>
      <c r="B112" s="44" t="str">
        <f>'Journal Entries'!A112</f>
        <v>JE-055</v>
      </c>
      <c r="C112" s="44" t="str">
        <f>'Journal Entries'!D112</f>
        <v>MBL250729023</v>
      </c>
      <c r="D112" s="44">
        <f>'Journal Entries'!F112</f>
        <v>1054</v>
      </c>
      <c r="E112" s="44" t="str">
        <f>'Journal Entries'!G112</f>
        <v>GL not found</v>
      </c>
      <c r="F112" s="44" t="str">
        <f>'Journal Entries'!E112</f>
        <v>Bulk transfer - Contract drivers settlement W30</v>
      </c>
      <c r="G112" s="47">
        <f>'Journal Entries'!H112</f>
        <v>149000</v>
      </c>
      <c r="H112" s="47">
        <f>'Journal Entries'!I112</f>
        <v>0</v>
      </c>
      <c r="I112" s="47">
        <f t="shared" si="1"/>
        <v>149000</v>
      </c>
      <c r="J112" s="47">
        <f t="shared" si="2"/>
        <v>920500</v>
      </c>
      <c r="K112" s="44" t="str">
        <f>'Journal Entries'!L112</f>
        <v>Posted</v>
      </c>
    </row>
    <row r="113" ht="15.75" customHeight="1">
      <c r="A113" s="46">
        <f>'Journal Entries'!B113</f>
        <v>45869</v>
      </c>
      <c r="B113" s="44" t="str">
        <f>'Journal Entries'!A113</f>
        <v>JE-056</v>
      </c>
      <c r="C113" s="44" t="str">
        <f>'Journal Entries'!D113</f>
        <v>MBL250731024</v>
      </c>
      <c r="D113" s="44">
        <f>'Journal Entries'!F113</f>
        <v>1030</v>
      </c>
      <c r="E113" s="44" t="str">
        <f>'Journal Entries'!G113</f>
        <v>GL not found</v>
      </c>
      <c r="F113" s="44" t="str">
        <f>'Journal Entries'!E113</f>
        <v>Bank service charges - July</v>
      </c>
      <c r="G113" s="47">
        <f>'Journal Entries'!H113</f>
        <v>0</v>
      </c>
      <c r="H113" s="47">
        <f>'Journal Entries'!I113</f>
        <v>1800</v>
      </c>
      <c r="I113" s="47">
        <f t="shared" si="1"/>
        <v>-1800</v>
      </c>
      <c r="J113" s="47">
        <f t="shared" si="2"/>
        <v>-420800</v>
      </c>
      <c r="K113" s="44" t="str">
        <f>'Journal Entries'!L113</f>
        <v>Posted</v>
      </c>
    </row>
    <row r="114" ht="15.75" customHeight="1">
      <c r="A114" s="46">
        <f>'Journal Entries'!B114</f>
        <v>45869</v>
      </c>
      <c r="B114" s="44" t="str">
        <f>'Journal Entries'!A114</f>
        <v>JE-056</v>
      </c>
      <c r="C114" s="44" t="str">
        <f>'Journal Entries'!D114</f>
        <v>MBL250731024</v>
      </c>
      <c r="D114" s="44">
        <f>'Journal Entries'!F114</f>
        <v>1057</v>
      </c>
      <c r="E114" s="44" t="str">
        <f>'Journal Entries'!G114</f>
        <v>GL not found</v>
      </c>
      <c r="F114" s="44" t="str">
        <f>'Journal Entries'!E114</f>
        <v>Bank service charges - July</v>
      </c>
      <c r="G114" s="47">
        <f>'Journal Entries'!H114</f>
        <v>1800</v>
      </c>
      <c r="H114" s="47">
        <f>'Journal Entries'!I114</f>
        <v>0</v>
      </c>
      <c r="I114" s="47">
        <f t="shared" si="1"/>
        <v>1800</v>
      </c>
      <c r="J114" s="47">
        <f t="shared" si="2"/>
        <v>10645</v>
      </c>
      <c r="K114" s="44" t="str">
        <f>'Journal Entries'!L114</f>
        <v>Posted</v>
      </c>
    </row>
    <row r="115" ht="15.75" customHeight="1">
      <c r="A115" s="46">
        <f>'Journal Entries'!B115</f>
        <v>45869</v>
      </c>
      <c r="B115" s="44" t="str">
        <f>'Journal Entries'!A115</f>
        <v>JE-057</v>
      </c>
      <c r="C115" s="44" t="str">
        <f>'Journal Entries'!D115</f>
        <v>MBL250731025</v>
      </c>
      <c r="D115" s="44">
        <f>'Journal Entries'!F115</f>
        <v>1030</v>
      </c>
      <c r="E115" s="44" t="str">
        <f>'Journal Entries'!G115</f>
        <v>GL not found</v>
      </c>
      <c r="F115" s="44" t="str">
        <f>'Journal Entries'!E115</f>
        <v>FED on bank service charges</v>
      </c>
      <c r="G115" s="47">
        <f>'Journal Entries'!H115</f>
        <v>0</v>
      </c>
      <c r="H115" s="47">
        <f>'Journal Entries'!I115</f>
        <v>288</v>
      </c>
      <c r="I115" s="47">
        <f t="shared" si="1"/>
        <v>-288</v>
      </c>
      <c r="J115" s="47">
        <f t="shared" si="2"/>
        <v>-421088</v>
      </c>
      <c r="K115" s="44" t="str">
        <f>'Journal Entries'!L115</f>
        <v>Posted</v>
      </c>
    </row>
    <row r="116" ht="15.75" customHeight="1">
      <c r="A116" s="46">
        <f>'Journal Entries'!B116</f>
        <v>45869</v>
      </c>
      <c r="B116" s="44" t="str">
        <f>'Journal Entries'!A116</f>
        <v>JE-057</v>
      </c>
      <c r="C116" s="44" t="str">
        <f>'Journal Entries'!D116</f>
        <v>MBL250731025</v>
      </c>
      <c r="D116" s="44">
        <f>'Journal Entries'!F116</f>
        <v>1068</v>
      </c>
      <c r="E116" s="44" t="str">
        <f>'Journal Entries'!G116</f>
        <v>GL not found</v>
      </c>
      <c r="F116" s="44" t="str">
        <f>'Journal Entries'!E116</f>
        <v>FED on bank service charges</v>
      </c>
      <c r="G116" s="47">
        <f>'Journal Entries'!H116</f>
        <v>288</v>
      </c>
      <c r="H116" s="47">
        <f>'Journal Entries'!I116</f>
        <v>0</v>
      </c>
      <c r="I116" s="47">
        <f t="shared" si="1"/>
        <v>288</v>
      </c>
      <c r="J116" s="47">
        <f t="shared" si="2"/>
        <v>446699</v>
      </c>
      <c r="K116" s="44" t="str">
        <f>'Journal Entries'!L116</f>
        <v>Posted</v>
      </c>
    </row>
    <row r="117" ht="15.75" customHeight="1">
      <c r="A117" s="46">
        <f>'Journal Entries'!B117</f>
        <v>45839</v>
      </c>
      <c r="B117" s="44" t="str">
        <f>'Journal Entries'!A117</f>
        <v>JE-058</v>
      </c>
      <c r="C117" s="44" t="str">
        <f>'Journal Entries'!D117</f>
        <v>OPEN-2025</v>
      </c>
      <c r="D117" s="44">
        <f>'Journal Entries'!F117</f>
        <v>1029</v>
      </c>
      <c r="E117" s="44" t="str">
        <f>'Journal Entries'!G117</f>
        <v>GL not found</v>
      </c>
      <c r="F117" s="44" t="str">
        <f>'Journal Entries'!E117</f>
        <v>Opening balance - HBL</v>
      </c>
      <c r="G117" s="47">
        <f>'Journal Entries'!H117</f>
        <v>3250000</v>
      </c>
      <c r="H117" s="47">
        <f>'Journal Entries'!I117</f>
        <v>0</v>
      </c>
      <c r="I117" s="47">
        <f t="shared" si="1"/>
        <v>3250000</v>
      </c>
      <c r="J117" s="47">
        <f t="shared" si="2"/>
        <v>3997926</v>
      </c>
      <c r="K117" s="44" t="str">
        <f>'Journal Entries'!L117</f>
        <v>Posted</v>
      </c>
    </row>
    <row r="118" ht="15.75" customHeight="1">
      <c r="A118" s="46">
        <f>'Journal Entries'!B118</f>
        <v>45839</v>
      </c>
      <c r="B118" s="44" t="str">
        <f>'Journal Entries'!A118</f>
        <v>JE-058</v>
      </c>
      <c r="C118" s="44" t="str">
        <f>'Journal Entries'!D118</f>
        <v>OPEN-2025</v>
      </c>
      <c r="D118" s="44">
        <f>'Journal Entries'!F118</f>
        <v>1030</v>
      </c>
      <c r="E118" s="44" t="str">
        <f>'Journal Entries'!G118</f>
        <v>GL not found</v>
      </c>
      <c r="F118" s="44" t="str">
        <f>'Journal Entries'!E118</f>
        <v>Opening balance - Meezan</v>
      </c>
      <c r="G118" s="47">
        <f>'Journal Entries'!H118</f>
        <v>480000</v>
      </c>
      <c r="H118" s="47">
        <f>'Journal Entries'!I118</f>
        <v>0</v>
      </c>
      <c r="I118" s="47">
        <f t="shared" si="1"/>
        <v>480000</v>
      </c>
      <c r="J118" s="47">
        <f t="shared" si="2"/>
        <v>58912</v>
      </c>
      <c r="K118" s="44" t="str">
        <f>'Journal Entries'!L118</f>
        <v>Posted</v>
      </c>
    </row>
    <row r="119" ht="15.75" customHeight="1">
      <c r="A119" s="46">
        <f>'Journal Entries'!B119</f>
        <v>45839</v>
      </c>
      <c r="B119" s="44" t="str">
        <f>'Journal Entries'!A119</f>
        <v>JE-058</v>
      </c>
      <c r="C119" s="44" t="str">
        <f>'Journal Entries'!D119</f>
        <v>OPEN-2025</v>
      </c>
      <c r="D119" s="44">
        <f>'Journal Entries'!F119</f>
        <v>1018</v>
      </c>
      <c r="E119" s="44" t="str">
        <f>'Journal Entries'!G119</f>
        <v>GL not found</v>
      </c>
      <c r="F119" s="44" t="str">
        <f>'Journal Entries'!E119</f>
        <v>Opening trade receivables</v>
      </c>
      <c r="G119" s="47">
        <f>'Journal Entries'!H119</f>
        <v>4000000</v>
      </c>
      <c r="H119" s="47">
        <f>'Journal Entries'!I119</f>
        <v>0</v>
      </c>
      <c r="I119" s="47">
        <f t="shared" si="1"/>
        <v>4000000</v>
      </c>
      <c r="J119" s="47">
        <f t="shared" si="2"/>
        <v>56800</v>
      </c>
      <c r="K119" s="44" t="str">
        <f>'Journal Entries'!L119</f>
        <v>Posted</v>
      </c>
    </row>
    <row r="120" ht="15.75" customHeight="1">
      <c r="A120" s="46">
        <f>'Journal Entries'!B120</f>
        <v>45839</v>
      </c>
      <c r="B120" s="44" t="str">
        <f>'Journal Entries'!A120</f>
        <v>JE-058</v>
      </c>
      <c r="C120" s="44" t="str">
        <f>'Journal Entries'!D120</f>
        <v>OPEN-2025</v>
      </c>
      <c r="D120" s="44">
        <f>'Journal Entries'!F120</f>
        <v>1034</v>
      </c>
      <c r="E120" s="44" t="str">
        <f>'Journal Entries'!G120</f>
        <v>GL not found</v>
      </c>
      <c r="F120" s="44" t="str">
        <f>'Journal Entries'!E120</f>
        <v>Opening accrued payroll</v>
      </c>
      <c r="G120" s="47">
        <f>'Journal Entries'!H120</f>
        <v>0</v>
      </c>
      <c r="H120" s="47">
        <f>'Journal Entries'!I120</f>
        <v>1100000</v>
      </c>
      <c r="I120" s="47">
        <f t="shared" si="1"/>
        <v>-1100000</v>
      </c>
      <c r="J120" s="47">
        <f t="shared" si="2"/>
        <v>-65350</v>
      </c>
      <c r="K120" s="44" t="str">
        <f>'Journal Entries'!L120</f>
        <v>Posted</v>
      </c>
    </row>
    <row r="121" ht="15.75" customHeight="1">
      <c r="A121" s="46">
        <f>'Journal Entries'!B121</f>
        <v>45839</v>
      </c>
      <c r="B121" s="44" t="str">
        <f>'Journal Entries'!A121</f>
        <v>JE-058</v>
      </c>
      <c r="C121" s="44" t="str">
        <f>'Journal Entries'!D121</f>
        <v>OPEN-2025</v>
      </c>
      <c r="D121" s="44">
        <f>'Journal Entries'!F121</f>
        <v>1038</v>
      </c>
      <c r="E121" s="44" t="str">
        <f>'Journal Entries'!G121</f>
        <v>GL not found</v>
      </c>
      <c r="F121" s="44" t="str">
        <f>'Journal Entries'!E121</f>
        <v>Opening retained earnings</v>
      </c>
      <c r="G121" s="47">
        <f>'Journal Entries'!H121</f>
        <v>0</v>
      </c>
      <c r="H121" s="47">
        <f>'Journal Entries'!I121</f>
        <v>6630000</v>
      </c>
      <c r="I121" s="47">
        <f t="shared" si="1"/>
        <v>-6630000</v>
      </c>
      <c r="J121" s="47">
        <f t="shared" si="2"/>
        <v>-6630000</v>
      </c>
      <c r="K121" s="44" t="str">
        <f>'Journal Entries'!L121</f>
        <v>Posted</v>
      </c>
    </row>
    <row r="122" ht="15.75" customHeight="1">
      <c r="A122" s="46">
        <f>'Journal Entries'!B122</f>
        <v>45869</v>
      </c>
      <c r="B122" s="44" t="str">
        <f>'Journal Entries'!A122</f>
        <v>JE-059</v>
      </c>
      <c r="C122" s="44" t="str">
        <f>'Journal Entries'!D122</f>
        <v>NB-001</v>
      </c>
      <c r="D122" s="44">
        <f>'Journal Entries'!F122</f>
        <v>1018</v>
      </c>
      <c r="E122" s="44" t="str">
        <f>'Journal Entries'!G122</f>
        <v>GL not found</v>
      </c>
      <c r="F122" s="44" t="str">
        <f>'Journal Entries'!E122</f>
        <v>Unpaid customer invoice - July services</v>
      </c>
      <c r="G122" s="47">
        <f>'Journal Entries'!H122</f>
        <v>925000</v>
      </c>
      <c r="H122" s="47">
        <f>'Journal Entries'!I122</f>
        <v>0</v>
      </c>
      <c r="I122" s="47">
        <f t="shared" si="1"/>
        <v>925000</v>
      </c>
      <c r="J122" s="47">
        <f t="shared" si="2"/>
        <v>981800</v>
      </c>
      <c r="K122" s="44" t="str">
        <f>'Journal Entries'!L122</f>
        <v>Posted</v>
      </c>
    </row>
    <row r="123" ht="15.75" customHeight="1">
      <c r="A123" s="46">
        <f>'Journal Entries'!B123</f>
        <v>45869</v>
      </c>
      <c r="B123" s="44" t="str">
        <f>'Journal Entries'!A123</f>
        <v>JE-059</v>
      </c>
      <c r="C123" s="44" t="str">
        <f>'Journal Entries'!D123</f>
        <v>NB-001</v>
      </c>
      <c r="D123" s="44">
        <f>'Journal Entries'!F123</f>
        <v>1050</v>
      </c>
      <c r="E123" s="44" t="str">
        <f>'Journal Entries'!G123</f>
        <v>GL not found</v>
      </c>
      <c r="F123" s="44" t="str">
        <f>'Journal Entries'!E123</f>
        <v>Unpaid customer invoice - July services</v>
      </c>
      <c r="G123" s="47">
        <f>'Journal Entries'!H123</f>
        <v>0</v>
      </c>
      <c r="H123" s="47">
        <f>'Journal Entries'!I123</f>
        <v>925000</v>
      </c>
      <c r="I123" s="47">
        <f t="shared" si="1"/>
        <v>-925000</v>
      </c>
      <c r="J123" s="47">
        <f t="shared" si="2"/>
        <v>-1149000</v>
      </c>
      <c r="K123" s="44" t="str">
        <f>'Journal Entries'!L123</f>
        <v>Posted</v>
      </c>
    </row>
    <row r="124" ht="15.75" customHeight="1">
      <c r="A124" s="46">
        <f>'Journal Entries'!B124</f>
        <v>45869</v>
      </c>
      <c r="B124" s="44" t="str">
        <f>'Journal Entries'!A124</f>
        <v>JE-060</v>
      </c>
      <c r="C124" s="44" t="str">
        <f>'Journal Entries'!D124</f>
        <v>NB-002</v>
      </c>
      <c r="D124" s="44">
        <f>'Journal Entries'!F124</f>
        <v>1054</v>
      </c>
      <c r="E124" s="44" t="str">
        <f>'Journal Entries'!G124</f>
        <v>GL not found</v>
      </c>
      <c r="F124" s="44" t="str">
        <f>'Journal Entries'!E124</f>
        <v>Unpaid supplier bill - carrier services</v>
      </c>
      <c r="G124" s="47">
        <f>'Journal Entries'!H124</f>
        <v>315000</v>
      </c>
      <c r="H124" s="47">
        <f>'Journal Entries'!I124</f>
        <v>0</v>
      </c>
      <c r="I124" s="47">
        <f t="shared" si="1"/>
        <v>315000</v>
      </c>
      <c r="J124" s="47">
        <f t="shared" si="2"/>
        <v>1235500</v>
      </c>
      <c r="K124" s="44" t="str">
        <f>'Journal Entries'!L124</f>
        <v>Posted</v>
      </c>
    </row>
    <row r="125" ht="15.75" customHeight="1">
      <c r="A125" s="46">
        <f>'Journal Entries'!B125</f>
        <v>45869</v>
      </c>
      <c r="B125" s="44" t="str">
        <f>'Journal Entries'!A125</f>
        <v>JE-060</v>
      </c>
      <c r="C125" s="44" t="str">
        <f>'Journal Entries'!D125</f>
        <v>NB-002</v>
      </c>
      <c r="D125" s="44">
        <f>'Journal Entries'!F125</f>
        <v>1035</v>
      </c>
      <c r="E125" s="44" t="str">
        <f>'Journal Entries'!G125</f>
        <v>GL not found</v>
      </c>
      <c r="F125" s="44" t="str">
        <f>'Journal Entries'!E125</f>
        <v>Unpaid supplier bill - carrier services</v>
      </c>
      <c r="G125" s="47">
        <f>'Journal Entries'!H125</f>
        <v>0</v>
      </c>
      <c r="H125" s="47">
        <f>'Journal Entries'!I125</f>
        <v>315000</v>
      </c>
      <c r="I125" s="47">
        <f t="shared" si="1"/>
        <v>-315000</v>
      </c>
      <c r="J125" s="47">
        <f t="shared" si="2"/>
        <v>-315000</v>
      </c>
      <c r="K125" s="44" t="str">
        <f>'Journal Entries'!L125</f>
        <v>Posted</v>
      </c>
    </row>
    <row r="126" ht="15.75" customHeight="1">
      <c r="A126" s="46">
        <f>'Journal Entries'!B126</f>
        <v>45869</v>
      </c>
      <c r="B126" s="44" t="str">
        <f>'Journal Entries'!A126</f>
        <v>JE-061</v>
      </c>
      <c r="C126" s="44" t="str">
        <f>'Journal Entries'!D126</f>
        <v>NB-003</v>
      </c>
      <c r="D126" s="44">
        <f>'Journal Entries'!F126</f>
        <v>1058</v>
      </c>
      <c r="E126" s="44" t="str">
        <f>'Journal Entries'!G126</f>
        <v>GL not found</v>
      </c>
      <c r="F126" s="44" t="str">
        <f>'Journal Entries'!E126</f>
        <v>Month-end utilities accrual</v>
      </c>
      <c r="G126" s="47">
        <f>'Journal Entries'!H126</f>
        <v>85000</v>
      </c>
      <c r="H126" s="47">
        <f>'Journal Entries'!I126</f>
        <v>0</v>
      </c>
      <c r="I126" s="47">
        <f t="shared" si="1"/>
        <v>85000</v>
      </c>
      <c r="J126" s="47">
        <f t="shared" si="2"/>
        <v>461550</v>
      </c>
      <c r="K126" s="44" t="str">
        <f>'Journal Entries'!L126</f>
        <v>Posted</v>
      </c>
    </row>
    <row r="127" ht="15.75" customHeight="1">
      <c r="A127" s="46">
        <f>'Journal Entries'!B127</f>
        <v>45869</v>
      </c>
      <c r="B127" s="44" t="str">
        <f>'Journal Entries'!A127</f>
        <v>JE-061</v>
      </c>
      <c r="C127" s="44" t="str">
        <f>'Journal Entries'!D127</f>
        <v>NB-003</v>
      </c>
      <c r="D127" s="44">
        <f>'Journal Entries'!F127</f>
        <v>1035</v>
      </c>
      <c r="E127" s="44" t="str">
        <f>'Journal Entries'!G127</f>
        <v>GL not found</v>
      </c>
      <c r="F127" s="44" t="str">
        <f>'Journal Entries'!E127</f>
        <v>Month-end utilities accrual</v>
      </c>
      <c r="G127" s="47">
        <f>'Journal Entries'!H127</f>
        <v>0</v>
      </c>
      <c r="H127" s="47">
        <f>'Journal Entries'!I127</f>
        <v>85000</v>
      </c>
      <c r="I127" s="47">
        <f t="shared" si="1"/>
        <v>-85000</v>
      </c>
      <c r="J127" s="47">
        <f t="shared" si="2"/>
        <v>-400000</v>
      </c>
      <c r="K127" s="44" t="str">
        <f>'Journal Entries'!L127</f>
        <v>Posted</v>
      </c>
    </row>
    <row r="128" ht="15.75" customHeight="1">
      <c r="A128" s="46">
        <f>'Journal Entries'!B128</f>
        <v>45869</v>
      </c>
      <c r="B128" s="44" t="str">
        <f>'Journal Entries'!A128</f>
        <v>JE-062</v>
      </c>
      <c r="C128" s="44" t="str">
        <f>'Journal Entries'!D128</f>
        <v>NB-004</v>
      </c>
      <c r="D128" s="44">
        <f>'Journal Entries'!F128</f>
        <v>1068</v>
      </c>
      <c r="E128" s="44" t="str">
        <f>'Journal Entries'!G128</f>
        <v>GL not found</v>
      </c>
      <c r="F128" s="44" t="str">
        <f>'Journal Entries'!E128</f>
        <v>One month insurance expense released from prepayment</v>
      </c>
      <c r="G128" s="47">
        <f>'Journal Entries'!H128</f>
        <v>15000</v>
      </c>
      <c r="H128" s="47">
        <f>'Journal Entries'!I128</f>
        <v>0</v>
      </c>
      <c r="I128" s="47">
        <f t="shared" si="1"/>
        <v>15000</v>
      </c>
      <c r="J128" s="47">
        <f t="shared" si="2"/>
        <v>461699</v>
      </c>
      <c r="K128" s="44" t="str">
        <f>'Journal Entries'!L128</f>
        <v>Posted</v>
      </c>
    </row>
    <row r="129" ht="15.75" customHeight="1">
      <c r="A129" s="46">
        <f>'Journal Entries'!B129</f>
        <v>45869</v>
      </c>
      <c r="B129" s="44" t="str">
        <f>'Journal Entries'!A129</f>
        <v>JE-062</v>
      </c>
      <c r="C129" s="44" t="str">
        <f>'Journal Entries'!D129</f>
        <v>NB-004</v>
      </c>
      <c r="D129" s="44">
        <f>'Journal Entries'!F129</f>
        <v>1026</v>
      </c>
      <c r="E129" s="44" t="str">
        <f>'Journal Entries'!G129</f>
        <v>GL not found</v>
      </c>
      <c r="F129" s="44" t="str">
        <f>'Journal Entries'!E129</f>
        <v>One month insurance expense released from prepayment</v>
      </c>
      <c r="G129" s="47">
        <f>'Journal Entries'!H129</f>
        <v>0</v>
      </c>
      <c r="H129" s="47">
        <f>'Journal Entries'!I129</f>
        <v>15000</v>
      </c>
      <c r="I129" s="47">
        <f t="shared" si="1"/>
        <v>-15000</v>
      </c>
      <c r="J129" s="47">
        <f t="shared" si="2"/>
        <v>165000</v>
      </c>
      <c r="K129" s="44" t="str">
        <f>'Journal Entries'!L129</f>
        <v>Posted</v>
      </c>
    </row>
    <row r="130" ht="15.75" customHeight="1">
      <c r="A130" s="46">
        <f>'Journal Entries'!B130</f>
        <v>45869</v>
      </c>
      <c r="B130" s="44" t="str">
        <f>'Journal Entries'!A130</f>
        <v>JE-063</v>
      </c>
      <c r="C130" s="44" t="str">
        <f>'Journal Entries'!D130</f>
        <v>NB-005</v>
      </c>
      <c r="D130" s="44">
        <f>'Journal Entries'!F130</f>
        <v>1064</v>
      </c>
      <c r="E130" s="44" t="str">
        <f>'Journal Entries'!G130</f>
        <v>GL not found</v>
      </c>
      <c r="F130" s="44" t="str">
        <f>'Journal Entries'!E130</f>
        <v>Monthly depreciation on equipment</v>
      </c>
      <c r="G130" s="47">
        <f>'Journal Entries'!H130</f>
        <v>120000</v>
      </c>
      <c r="H130" s="47">
        <f>'Journal Entries'!I130</f>
        <v>0</v>
      </c>
      <c r="I130" s="47">
        <f t="shared" si="1"/>
        <v>120000</v>
      </c>
      <c r="J130" s="47">
        <f t="shared" si="2"/>
        <v>120000</v>
      </c>
      <c r="K130" s="44" t="str">
        <f>'Journal Entries'!L130</f>
        <v>Posted</v>
      </c>
    </row>
    <row r="131" ht="15.75" customHeight="1">
      <c r="A131" s="46">
        <f>'Journal Entries'!B131</f>
        <v>45869</v>
      </c>
      <c r="B131" s="44" t="str">
        <f>'Journal Entries'!A131</f>
        <v>JE-063</v>
      </c>
      <c r="C131" s="44" t="str">
        <f>'Journal Entries'!D131</f>
        <v>NB-005</v>
      </c>
      <c r="D131" s="44">
        <f>'Journal Entries'!F131</f>
        <v>1017</v>
      </c>
      <c r="E131" s="44" t="str">
        <f>'Journal Entries'!G131</f>
        <v>GL not found</v>
      </c>
      <c r="F131" s="44" t="str">
        <f>'Journal Entries'!E131</f>
        <v>Monthly depreciation on equipment</v>
      </c>
      <c r="G131" s="47">
        <f>'Journal Entries'!H131</f>
        <v>0</v>
      </c>
      <c r="H131" s="47">
        <f>'Journal Entries'!I131</f>
        <v>120000</v>
      </c>
      <c r="I131" s="47">
        <f t="shared" si="1"/>
        <v>-120000</v>
      </c>
      <c r="J131" s="47">
        <f t="shared" si="2"/>
        <v>-120000</v>
      </c>
      <c r="K131" s="44" t="str">
        <f>'Journal Entries'!L131</f>
        <v>Posted</v>
      </c>
    </row>
    <row r="132" ht="15.75" customHeight="1">
      <c r="A132" s="46">
        <f>'Journal Entries'!B132</f>
        <v>45869</v>
      </c>
      <c r="B132" s="44" t="str">
        <f>'Journal Entries'!A132</f>
        <v>JE-064</v>
      </c>
      <c r="C132" s="44" t="str">
        <f>'Journal Entries'!D132</f>
        <v>NB-006</v>
      </c>
      <c r="D132" s="44">
        <f>'Journal Entries'!F132</f>
        <v>1056</v>
      </c>
      <c r="E132" s="44" t="str">
        <f>'Journal Entries'!G132</f>
        <v>GL not found</v>
      </c>
      <c r="F132" s="44" t="str">
        <f>'Journal Entries'!E132</f>
        <v>Payroll expense accrued but unpaid</v>
      </c>
      <c r="G132" s="47">
        <f>'Journal Entries'!H132</f>
        <v>290000</v>
      </c>
      <c r="H132" s="47">
        <f>'Journal Entries'!I132</f>
        <v>0</v>
      </c>
      <c r="I132" s="47">
        <f t="shared" si="1"/>
        <v>290000</v>
      </c>
      <c r="J132" s="47">
        <f t="shared" si="2"/>
        <v>386500</v>
      </c>
      <c r="K132" s="44" t="str">
        <f>'Journal Entries'!L132</f>
        <v>Posted</v>
      </c>
    </row>
    <row r="133" ht="15.75" customHeight="1">
      <c r="A133" s="46">
        <f>'Journal Entries'!B133</f>
        <v>45869</v>
      </c>
      <c r="B133" s="44" t="str">
        <f>'Journal Entries'!A133</f>
        <v>JE-064</v>
      </c>
      <c r="C133" s="44" t="str">
        <f>'Journal Entries'!D133</f>
        <v>NB-006</v>
      </c>
      <c r="D133" s="44">
        <f>'Journal Entries'!F133</f>
        <v>1034</v>
      </c>
      <c r="E133" s="44" t="str">
        <f>'Journal Entries'!G133</f>
        <v>GL not found</v>
      </c>
      <c r="F133" s="44" t="str">
        <f>'Journal Entries'!E133</f>
        <v>Payroll expense accrued but unpaid</v>
      </c>
      <c r="G133" s="47">
        <f>'Journal Entries'!H133</f>
        <v>0</v>
      </c>
      <c r="H133" s="47">
        <f>'Journal Entries'!I133</f>
        <v>290000</v>
      </c>
      <c r="I133" s="47">
        <f t="shared" si="1"/>
        <v>-290000</v>
      </c>
      <c r="J133" s="47">
        <f t="shared" si="2"/>
        <v>-355350</v>
      </c>
      <c r="K133" s="44" t="str">
        <f>'Journal Entries'!L133</f>
        <v>Posted</v>
      </c>
    </row>
    <row r="134" ht="15.75" customHeight="1">
      <c r="A134" s="46">
        <f>'Journal Entries'!B134</f>
        <v>45869</v>
      </c>
      <c r="B134" s="44" t="str">
        <f>'Journal Entries'!A134</f>
        <v>JE-065</v>
      </c>
      <c r="C134" s="44" t="str">
        <f>'Journal Entries'!D134</f>
        <v>NB-007</v>
      </c>
      <c r="D134" s="44">
        <f>'Journal Entries'!F134</f>
        <v>1048</v>
      </c>
      <c r="E134" s="44" t="str">
        <f>'Journal Entries'!G134</f>
        <v>GL not found</v>
      </c>
      <c r="F134" s="44" t="str">
        <f>'Journal Entries'!E134</f>
        <v>Current income tax provision</v>
      </c>
      <c r="G134" s="47">
        <f>'Journal Entries'!H134</f>
        <v>140000</v>
      </c>
      <c r="H134" s="47">
        <f>'Journal Entries'!I134</f>
        <v>0</v>
      </c>
      <c r="I134" s="47">
        <f t="shared" si="1"/>
        <v>140000</v>
      </c>
      <c r="J134" s="47">
        <f t="shared" si="2"/>
        <v>140000</v>
      </c>
      <c r="K134" s="44" t="str">
        <f>'Journal Entries'!L134</f>
        <v>Posted</v>
      </c>
    </row>
    <row r="135" ht="15.75" customHeight="1">
      <c r="A135" s="46">
        <f>'Journal Entries'!B135</f>
        <v>45869</v>
      </c>
      <c r="B135" s="44" t="str">
        <f>'Journal Entries'!A135</f>
        <v>JE-065</v>
      </c>
      <c r="C135" s="44" t="str">
        <f>'Journal Entries'!D135</f>
        <v>NB-007</v>
      </c>
      <c r="D135" s="44">
        <f>'Journal Entries'!F135</f>
        <v>1047</v>
      </c>
      <c r="E135" s="44" t="str">
        <f>'Journal Entries'!G135</f>
        <v>GL not found</v>
      </c>
      <c r="F135" s="44" t="str">
        <f>'Journal Entries'!E135</f>
        <v>Current income tax provision</v>
      </c>
      <c r="G135" s="47">
        <f>'Journal Entries'!H135</f>
        <v>0</v>
      </c>
      <c r="H135" s="47">
        <f>'Journal Entries'!I135</f>
        <v>140000</v>
      </c>
      <c r="I135" s="47">
        <f t="shared" si="1"/>
        <v>-140000</v>
      </c>
      <c r="J135" s="47">
        <f t="shared" si="2"/>
        <v>-140000</v>
      </c>
      <c r="K135" s="44" t="str">
        <f>'Journal Entries'!L135</f>
        <v>Posted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34.0"/>
    <col customWidth="1" min="3" max="4" width="18.0"/>
    <col customWidth="1" min="5" max="10" width="16.0"/>
  </cols>
  <sheetData>
    <row r="1" ht="30.0" customHeight="1">
      <c r="A1" s="1" t="s">
        <v>654</v>
      </c>
    </row>
    <row r="2">
      <c r="A2" s="7" t="s">
        <v>290</v>
      </c>
      <c r="B2" s="8" t="s">
        <v>292</v>
      </c>
      <c r="C2" s="8" t="s">
        <v>96</v>
      </c>
      <c r="D2" s="8" t="s">
        <v>105</v>
      </c>
      <c r="E2" s="8" t="s">
        <v>655</v>
      </c>
      <c r="F2" s="8" t="s">
        <v>656</v>
      </c>
      <c r="G2" s="8" t="s">
        <v>657</v>
      </c>
      <c r="H2" s="8" t="s">
        <v>658</v>
      </c>
      <c r="I2" s="8" t="s">
        <v>659</v>
      </c>
      <c r="J2" s="9" t="s">
        <v>660</v>
      </c>
    </row>
    <row r="3">
      <c r="A3" s="6" t="str">
        <f>'Chart of Accounts'!H4</f>
        <v/>
      </c>
      <c r="B3" s="6" t="str">
        <f>'Chart of Accounts'!I4</f>
        <v/>
      </c>
      <c r="C3" s="6" t="str">
        <f>'Chart of Accounts'!A4</f>
        <v/>
      </c>
      <c r="D3" s="6" t="str">
        <f>'Chart of Accounts'!B4</f>
        <v/>
      </c>
      <c r="E3" s="50">
        <f>SUMIFS('Journal Entries'!$H$3:$H$135,'Journal Entries'!$F$3:$F$135,A3,'Journal Entries'!$C$3:$C$135,"Opening Balance")</f>
        <v>0</v>
      </c>
      <c r="F3" s="50">
        <f>SUMIFS('Journal Entries'!$I$3:$I$135,'Journal Entries'!$F$3:$F$135,A3,'Journal Entries'!$C$3:$C$135,"Opening Balance")</f>
        <v>0</v>
      </c>
      <c r="G3" s="50">
        <f>SUMIFS('Journal Entries'!$H$3:$H$135,'Journal Entries'!$F$3:$F$135,A3)-E3</f>
        <v>0</v>
      </c>
      <c r="H3" s="50">
        <f>SUMIFS('Journal Entries'!$I$3:$I$135,'Journal Entries'!$F$3:$F$135,A3)-F3</f>
        <v>0</v>
      </c>
      <c r="I3" s="50">
        <f t="shared" ref="I3:I61" si="1">MAX(0,E3+G3-F3-H3)</f>
        <v>0</v>
      </c>
      <c r="J3" s="50">
        <f t="shared" ref="J3:J61" si="2">MAX(0,F3+H3-E3-G3)</f>
        <v>0</v>
      </c>
    </row>
    <row r="4">
      <c r="A4" s="6" t="str">
        <f>'Chart of Accounts'!H5</f>
        <v>Code</v>
      </c>
      <c r="B4" s="6" t="str">
        <f>'Chart of Accounts'!I5</f>
        <v>Title</v>
      </c>
      <c r="C4" s="6" t="str">
        <f>'Chart of Accounts'!A5</f>
        <v>Nature</v>
      </c>
      <c r="D4" s="6" t="str">
        <f>'Chart of Accounts'!B5</f>
        <v>Classification 1</v>
      </c>
      <c r="E4" s="50">
        <f>SUMIFS('Journal Entries'!$H$3:$H$135,'Journal Entries'!$F$3:$F$135,A4,'Journal Entries'!$C$3:$C$135,"Opening Balance")</f>
        <v>0</v>
      </c>
      <c r="F4" s="50">
        <f>SUMIFS('Journal Entries'!$I$3:$I$135,'Journal Entries'!$F$3:$F$135,A4,'Journal Entries'!$C$3:$C$135,"Opening Balance")</f>
        <v>0</v>
      </c>
      <c r="G4" s="50">
        <f>SUMIFS('Journal Entries'!$H$3:$H$135,'Journal Entries'!$F$3:$F$135,A4)-E4</f>
        <v>0</v>
      </c>
      <c r="H4" s="50">
        <f>SUMIFS('Journal Entries'!$I$3:$I$135,'Journal Entries'!$F$3:$F$135,A4)-F4</f>
        <v>0</v>
      </c>
      <c r="I4" s="50">
        <f t="shared" si="1"/>
        <v>0</v>
      </c>
      <c r="J4" s="50">
        <f t="shared" si="2"/>
        <v>0</v>
      </c>
    </row>
    <row r="5">
      <c r="A5" s="6" t="str">
        <f>'Chart of Accounts'!H6</f>
        <v>1011</v>
      </c>
      <c r="B5" s="6" t="str">
        <f>'Chart of Accounts'!I6</f>
        <v>Furniture and fixture</v>
      </c>
      <c r="C5" s="6" t="str">
        <f>'Chart of Accounts'!A6</f>
        <v>B/S</v>
      </c>
      <c r="D5" s="6" t="str">
        <f>'Chart of Accounts'!B6</f>
        <v>Assets</v>
      </c>
      <c r="E5" s="50">
        <f>SUMIFS('Journal Entries'!$H$3:$H$135,'Journal Entries'!$F$3:$F$135,A5,'Journal Entries'!$C$3:$C$135,"Opening Balance")</f>
        <v>0</v>
      </c>
      <c r="F5" s="50">
        <f>SUMIFS('Journal Entries'!$I$3:$I$135,'Journal Entries'!$F$3:$F$135,A5,'Journal Entries'!$C$3:$C$135,"Opening Balance")</f>
        <v>0</v>
      </c>
      <c r="G5" s="50">
        <f>SUMIFS('Journal Entries'!$H$3:$H$135,'Journal Entries'!$F$3:$F$135,A5)-E5</f>
        <v>0</v>
      </c>
      <c r="H5" s="50">
        <f>SUMIFS('Journal Entries'!$I$3:$I$135,'Journal Entries'!$F$3:$F$135,A5)-F5</f>
        <v>0</v>
      </c>
      <c r="I5" s="50">
        <f t="shared" si="1"/>
        <v>0</v>
      </c>
      <c r="J5" s="50">
        <f t="shared" si="2"/>
        <v>0</v>
      </c>
    </row>
    <row r="6">
      <c r="A6" s="6" t="str">
        <f>'Chart of Accounts'!H7</f>
        <v>1012</v>
      </c>
      <c r="B6" s="6" t="str">
        <f>'Chart of Accounts'!I7</f>
        <v>Leasehold building</v>
      </c>
      <c r="C6" s="6" t="str">
        <f>'Chart of Accounts'!A7</f>
        <v>B/S</v>
      </c>
      <c r="D6" s="6" t="str">
        <f>'Chart of Accounts'!B7</f>
        <v>Assets</v>
      </c>
      <c r="E6" s="50">
        <f>SUMIFS('Journal Entries'!$H$3:$H$135,'Journal Entries'!$F$3:$F$135,A6,'Journal Entries'!$C$3:$C$135,"Opening Balance")</f>
        <v>0</v>
      </c>
      <c r="F6" s="50">
        <f>SUMIFS('Journal Entries'!$I$3:$I$135,'Journal Entries'!$F$3:$F$135,A6,'Journal Entries'!$C$3:$C$135,"Opening Balance")</f>
        <v>0</v>
      </c>
      <c r="G6" s="50">
        <f>SUMIFS('Journal Entries'!$H$3:$H$135,'Journal Entries'!$F$3:$F$135,A6)-E6</f>
        <v>0</v>
      </c>
      <c r="H6" s="50">
        <f>SUMIFS('Journal Entries'!$I$3:$I$135,'Journal Entries'!$F$3:$F$135,A6)-F6</f>
        <v>0</v>
      </c>
      <c r="I6" s="50">
        <f t="shared" si="1"/>
        <v>0</v>
      </c>
      <c r="J6" s="50">
        <f t="shared" si="2"/>
        <v>0</v>
      </c>
    </row>
    <row r="7">
      <c r="A7" s="6" t="str">
        <f>'Chart of Accounts'!H8</f>
        <v>1013</v>
      </c>
      <c r="B7" s="6" t="str">
        <f>'Chart of Accounts'!I8</f>
        <v>Computers</v>
      </c>
      <c r="C7" s="6" t="str">
        <f>'Chart of Accounts'!A8</f>
        <v>B/S</v>
      </c>
      <c r="D7" s="6" t="str">
        <f>'Chart of Accounts'!B8</f>
        <v>Assets</v>
      </c>
      <c r="E7" s="50">
        <f>SUMIFS('Journal Entries'!$H$3:$H$135,'Journal Entries'!$F$3:$F$135,A7,'Journal Entries'!$C$3:$C$135,"Opening Balance")</f>
        <v>0</v>
      </c>
      <c r="F7" s="50">
        <f>SUMIFS('Journal Entries'!$I$3:$I$135,'Journal Entries'!$F$3:$F$135,A7,'Journal Entries'!$C$3:$C$135,"Opening Balance")</f>
        <v>0</v>
      </c>
      <c r="G7" s="50">
        <f>SUMIFS('Journal Entries'!$H$3:$H$135,'Journal Entries'!$F$3:$F$135,A7)-E7</f>
        <v>0</v>
      </c>
      <c r="H7" s="50">
        <f>SUMIFS('Journal Entries'!$I$3:$I$135,'Journal Entries'!$F$3:$F$135,A7)-F7</f>
        <v>0</v>
      </c>
      <c r="I7" s="50">
        <f t="shared" si="1"/>
        <v>0</v>
      </c>
      <c r="J7" s="50">
        <f t="shared" si="2"/>
        <v>0</v>
      </c>
    </row>
    <row r="8">
      <c r="A8" s="6" t="str">
        <f>'Chart of Accounts'!H9</f>
        <v>1014</v>
      </c>
      <c r="B8" s="6" t="str">
        <f>'Chart of Accounts'!I9</f>
        <v>Office Equipments</v>
      </c>
      <c r="C8" s="6" t="str">
        <f>'Chart of Accounts'!A9</f>
        <v>B/S</v>
      </c>
      <c r="D8" s="6" t="str">
        <f>'Chart of Accounts'!B9</f>
        <v>Assets</v>
      </c>
      <c r="E8" s="50">
        <f>SUMIFS('Journal Entries'!$H$3:$H$135,'Journal Entries'!$F$3:$F$135,A8,'Journal Entries'!$C$3:$C$135,"Opening Balance")</f>
        <v>0</v>
      </c>
      <c r="F8" s="50">
        <f>SUMIFS('Journal Entries'!$I$3:$I$135,'Journal Entries'!$F$3:$F$135,A8,'Journal Entries'!$C$3:$C$135,"Opening Balance")</f>
        <v>0</v>
      </c>
      <c r="G8" s="50">
        <f>SUMIFS('Journal Entries'!$H$3:$H$135,'Journal Entries'!$F$3:$F$135,A8)-E8</f>
        <v>0</v>
      </c>
      <c r="H8" s="50">
        <f>SUMIFS('Journal Entries'!$I$3:$I$135,'Journal Entries'!$F$3:$F$135,A8)-F8</f>
        <v>0</v>
      </c>
      <c r="I8" s="50">
        <f t="shared" si="1"/>
        <v>0</v>
      </c>
      <c r="J8" s="50">
        <f t="shared" si="2"/>
        <v>0</v>
      </c>
    </row>
    <row r="9">
      <c r="A9" s="6" t="str">
        <f>'Chart of Accounts'!H10</f>
        <v>1015</v>
      </c>
      <c r="B9" s="6" t="str">
        <f>'Chart of Accounts'!I10</f>
        <v>Vehicles</v>
      </c>
      <c r="C9" s="6" t="str">
        <f>'Chart of Accounts'!A10</f>
        <v>B/S</v>
      </c>
      <c r="D9" s="6" t="str">
        <f>'Chart of Accounts'!B10</f>
        <v>Assets</v>
      </c>
      <c r="E9" s="50">
        <f>SUMIFS('Journal Entries'!$H$3:$H$135,'Journal Entries'!$F$3:$F$135,A9,'Journal Entries'!$C$3:$C$135,"Opening Balance")</f>
        <v>0</v>
      </c>
      <c r="F9" s="50">
        <f>SUMIFS('Journal Entries'!$I$3:$I$135,'Journal Entries'!$F$3:$F$135,A9,'Journal Entries'!$C$3:$C$135,"Opening Balance")</f>
        <v>0</v>
      </c>
      <c r="G9" s="50">
        <f>SUMIFS('Journal Entries'!$H$3:$H$135,'Journal Entries'!$F$3:$F$135,A9)-E9</f>
        <v>0</v>
      </c>
      <c r="H9" s="50">
        <f>SUMIFS('Journal Entries'!$I$3:$I$135,'Journal Entries'!$F$3:$F$135,A9)-F9</f>
        <v>0</v>
      </c>
      <c r="I9" s="50">
        <f t="shared" si="1"/>
        <v>0</v>
      </c>
      <c r="J9" s="50">
        <f t="shared" si="2"/>
        <v>0</v>
      </c>
    </row>
    <row r="10">
      <c r="A10" s="6" t="str">
        <f>'Chart of Accounts'!H11</f>
        <v>1016</v>
      </c>
      <c r="B10" s="6" t="str">
        <f>'Chart of Accounts'!I11</f>
        <v>Intangible Assets</v>
      </c>
      <c r="C10" s="6" t="str">
        <f>'Chart of Accounts'!A11</f>
        <v>B/S</v>
      </c>
      <c r="D10" s="6" t="str">
        <f>'Chart of Accounts'!B11</f>
        <v>Assets</v>
      </c>
      <c r="E10" s="50">
        <f>SUMIFS('Journal Entries'!$H$3:$H$135,'Journal Entries'!$F$3:$F$135,A10,'Journal Entries'!$C$3:$C$135,"Opening Balance")</f>
        <v>0</v>
      </c>
      <c r="F10" s="50">
        <f>SUMIFS('Journal Entries'!$I$3:$I$135,'Journal Entries'!$F$3:$F$135,A10,'Journal Entries'!$C$3:$C$135,"Opening Balance")</f>
        <v>0</v>
      </c>
      <c r="G10" s="50">
        <f>SUMIFS('Journal Entries'!$H$3:$H$135,'Journal Entries'!$F$3:$F$135,A10)-E10</f>
        <v>0</v>
      </c>
      <c r="H10" s="50">
        <f>SUMIFS('Journal Entries'!$I$3:$I$135,'Journal Entries'!$F$3:$F$135,A10)-F10</f>
        <v>0</v>
      </c>
      <c r="I10" s="50">
        <f t="shared" si="1"/>
        <v>0</v>
      </c>
      <c r="J10" s="50">
        <f t="shared" si="2"/>
        <v>0</v>
      </c>
    </row>
    <row r="11">
      <c r="A11" s="6" t="str">
        <f>'Chart of Accounts'!H12</f>
        <v>1017</v>
      </c>
      <c r="B11" s="6" t="str">
        <f>'Chart of Accounts'!I12</f>
        <v>Accumulated depreciation</v>
      </c>
      <c r="C11" s="6" t="str">
        <f>'Chart of Accounts'!A12</f>
        <v>B/S</v>
      </c>
      <c r="D11" s="6" t="str">
        <f>'Chart of Accounts'!B12</f>
        <v>Assets</v>
      </c>
      <c r="E11" s="50">
        <f>SUMIFS('Journal Entries'!$H$3:$H$135,'Journal Entries'!$F$3:$F$135,A11,'Journal Entries'!$C$3:$C$135,"Opening Balance")</f>
        <v>0</v>
      </c>
      <c r="F11" s="50">
        <f>SUMIFS('Journal Entries'!$I$3:$I$135,'Journal Entries'!$F$3:$F$135,A11,'Journal Entries'!$C$3:$C$135,"Opening Balance")</f>
        <v>0</v>
      </c>
      <c r="G11" s="50">
        <f>SUMIFS('Journal Entries'!$H$3:$H$135,'Journal Entries'!$F$3:$F$135,A11)-E11</f>
        <v>0</v>
      </c>
      <c r="H11" s="50">
        <f>SUMIFS('Journal Entries'!$I$3:$I$135,'Journal Entries'!$F$3:$F$135,A11)-F11</f>
        <v>120000</v>
      </c>
      <c r="I11" s="50">
        <f t="shared" si="1"/>
        <v>0</v>
      </c>
      <c r="J11" s="50">
        <f t="shared" si="2"/>
        <v>120000</v>
      </c>
    </row>
    <row r="12">
      <c r="A12" s="6" t="str">
        <f>'Chart of Accounts'!H13</f>
        <v>1018</v>
      </c>
      <c r="B12" s="6" t="str">
        <f>'Chart of Accounts'!I13</f>
        <v>Trade Debtors</v>
      </c>
      <c r="C12" s="6" t="str">
        <f>'Chart of Accounts'!A13</f>
        <v>B/S</v>
      </c>
      <c r="D12" s="6" t="str">
        <f>'Chart of Accounts'!B13</f>
        <v>Assets</v>
      </c>
      <c r="E12" s="50">
        <f>SUMIFS('Journal Entries'!$H$3:$H$135,'Journal Entries'!$F$3:$F$135,A12,'Journal Entries'!$C$3:$C$135,"Opening Balance")</f>
        <v>4000000</v>
      </c>
      <c r="F12" s="50">
        <f>SUMIFS('Journal Entries'!$I$3:$I$135,'Journal Entries'!$F$3:$F$135,A12,'Journal Entries'!$C$3:$C$135,"Opening Balance")</f>
        <v>0</v>
      </c>
      <c r="G12" s="50">
        <f>SUMIFS('Journal Entries'!$H$3:$H$135,'Journal Entries'!$F$3:$F$135,A12)-E12</f>
        <v>925000</v>
      </c>
      <c r="H12" s="50">
        <f>SUMIFS('Journal Entries'!$I$3:$I$135,'Journal Entries'!$F$3:$F$135,A12)-F12</f>
        <v>3943200</v>
      </c>
      <c r="I12" s="50">
        <f t="shared" si="1"/>
        <v>981800</v>
      </c>
      <c r="J12" s="50">
        <f t="shared" si="2"/>
        <v>0</v>
      </c>
    </row>
    <row r="13">
      <c r="A13" s="6" t="str">
        <f>'Chart of Accounts'!H14</f>
        <v>1019</v>
      </c>
      <c r="B13" s="6" t="str">
        <f>'Chart of Accounts'!I14</f>
        <v>Advance to carriers</v>
      </c>
      <c r="C13" s="6" t="str">
        <f>'Chart of Accounts'!A14</f>
        <v>B/S</v>
      </c>
      <c r="D13" s="6" t="str">
        <f>'Chart of Accounts'!B14</f>
        <v>Assets</v>
      </c>
      <c r="E13" s="50">
        <f>SUMIFS('Journal Entries'!$H$3:$H$135,'Journal Entries'!$F$3:$F$135,A13,'Journal Entries'!$C$3:$C$135,"Opening Balance")</f>
        <v>0</v>
      </c>
      <c r="F13" s="50">
        <f>SUMIFS('Journal Entries'!$I$3:$I$135,'Journal Entries'!$F$3:$F$135,A13,'Journal Entries'!$C$3:$C$135,"Opening Balance")</f>
        <v>0</v>
      </c>
      <c r="G13" s="50">
        <f>SUMIFS('Journal Entries'!$H$3:$H$135,'Journal Entries'!$F$3:$F$135,A13)-E13</f>
        <v>0</v>
      </c>
      <c r="H13" s="50">
        <f>SUMIFS('Journal Entries'!$I$3:$I$135,'Journal Entries'!$F$3:$F$135,A13)-F13</f>
        <v>0</v>
      </c>
      <c r="I13" s="50">
        <f t="shared" si="1"/>
        <v>0</v>
      </c>
      <c r="J13" s="50">
        <f t="shared" si="2"/>
        <v>0</v>
      </c>
    </row>
    <row r="14">
      <c r="A14" s="6" t="str">
        <f>'Chart of Accounts'!H15</f>
        <v>1020</v>
      </c>
      <c r="B14" s="6" t="str">
        <f>'Chart of Accounts'!I15</f>
        <v>Advance to BYOD</v>
      </c>
      <c r="C14" s="6" t="str">
        <f>'Chart of Accounts'!A15</f>
        <v>B/S</v>
      </c>
      <c r="D14" s="6" t="str">
        <f>'Chart of Accounts'!B15</f>
        <v>Assets</v>
      </c>
      <c r="E14" s="50">
        <f>SUMIFS('Journal Entries'!$H$3:$H$135,'Journal Entries'!$F$3:$F$135,A14,'Journal Entries'!$C$3:$C$135,"Opening Balance")</f>
        <v>0</v>
      </c>
      <c r="F14" s="50">
        <f>SUMIFS('Journal Entries'!$I$3:$I$135,'Journal Entries'!$F$3:$F$135,A14,'Journal Entries'!$C$3:$C$135,"Opening Balance")</f>
        <v>0</v>
      </c>
      <c r="G14" s="50">
        <f>SUMIFS('Journal Entries'!$H$3:$H$135,'Journal Entries'!$F$3:$F$135,A14)-E14</f>
        <v>0</v>
      </c>
      <c r="H14" s="50">
        <f>SUMIFS('Journal Entries'!$I$3:$I$135,'Journal Entries'!$F$3:$F$135,A14)-F14</f>
        <v>0</v>
      </c>
      <c r="I14" s="50">
        <f t="shared" si="1"/>
        <v>0</v>
      </c>
      <c r="J14" s="50">
        <f t="shared" si="2"/>
        <v>0</v>
      </c>
    </row>
    <row r="15">
      <c r="A15" s="6" t="str">
        <f>'Chart of Accounts'!H16</f>
        <v>1021</v>
      </c>
      <c r="B15" s="6" t="str">
        <f>'Chart of Accounts'!I16</f>
        <v>Security deposit-Office</v>
      </c>
      <c r="C15" s="6" t="str">
        <f>'Chart of Accounts'!A16</f>
        <v>B/S</v>
      </c>
      <c r="D15" s="6" t="str">
        <f>'Chart of Accounts'!B16</f>
        <v>Assets</v>
      </c>
      <c r="E15" s="50">
        <f>SUMIFS('Journal Entries'!$H$3:$H$135,'Journal Entries'!$F$3:$F$135,A15,'Journal Entries'!$C$3:$C$135,"Opening Balance")</f>
        <v>0</v>
      </c>
      <c r="F15" s="50">
        <f>SUMIFS('Journal Entries'!$I$3:$I$135,'Journal Entries'!$F$3:$F$135,A15,'Journal Entries'!$C$3:$C$135,"Opening Balance")</f>
        <v>0</v>
      </c>
      <c r="G15" s="50">
        <f>SUMIFS('Journal Entries'!$H$3:$H$135,'Journal Entries'!$F$3:$F$135,A15)-E15</f>
        <v>200000</v>
      </c>
      <c r="H15" s="50">
        <f>SUMIFS('Journal Entries'!$I$3:$I$135,'Journal Entries'!$F$3:$F$135,A15)-F15</f>
        <v>0</v>
      </c>
      <c r="I15" s="50">
        <f t="shared" si="1"/>
        <v>200000</v>
      </c>
      <c r="J15" s="50">
        <f t="shared" si="2"/>
        <v>0</v>
      </c>
    </row>
    <row r="16">
      <c r="A16" s="6" t="str">
        <f>'Chart of Accounts'!H17</f>
        <v>1022</v>
      </c>
      <c r="B16" s="6" t="str">
        <f>'Chart of Accounts'!I17</f>
        <v>Security Deposits - Customer</v>
      </c>
      <c r="C16" s="6" t="str">
        <f>'Chart of Accounts'!A17</f>
        <v>B/S</v>
      </c>
      <c r="D16" s="6" t="str">
        <f>'Chart of Accounts'!B17</f>
        <v>Assets</v>
      </c>
      <c r="E16" s="50">
        <f>SUMIFS('Journal Entries'!$H$3:$H$135,'Journal Entries'!$F$3:$F$135,A16,'Journal Entries'!$C$3:$C$135,"Opening Balance")</f>
        <v>0</v>
      </c>
      <c r="F16" s="50">
        <f>SUMIFS('Journal Entries'!$I$3:$I$135,'Journal Entries'!$F$3:$F$135,A16,'Journal Entries'!$C$3:$C$135,"Opening Balance")</f>
        <v>0</v>
      </c>
      <c r="G16" s="50">
        <f>SUMIFS('Journal Entries'!$H$3:$H$135,'Journal Entries'!$F$3:$F$135,A16)-E16</f>
        <v>0</v>
      </c>
      <c r="H16" s="50">
        <f>SUMIFS('Journal Entries'!$I$3:$I$135,'Journal Entries'!$F$3:$F$135,A16)-F16</f>
        <v>0</v>
      </c>
      <c r="I16" s="50">
        <f t="shared" si="1"/>
        <v>0</v>
      </c>
      <c r="J16" s="50">
        <f t="shared" si="2"/>
        <v>0</v>
      </c>
    </row>
    <row r="17">
      <c r="A17" s="6" t="str">
        <f>'Chart of Accounts'!H18</f>
        <v>1023</v>
      </c>
      <c r="B17" s="6" t="str">
        <f>'Chart of Accounts'!I18</f>
        <v>Security deposit - carriers</v>
      </c>
      <c r="C17" s="6" t="str">
        <f>'Chart of Accounts'!A18</f>
        <v>B/S</v>
      </c>
      <c r="D17" s="6" t="str">
        <f>'Chart of Accounts'!B18</f>
        <v>Assets</v>
      </c>
      <c r="E17" s="50">
        <f>SUMIFS('Journal Entries'!$H$3:$H$135,'Journal Entries'!$F$3:$F$135,A17,'Journal Entries'!$C$3:$C$135,"Opening Balance")</f>
        <v>0</v>
      </c>
      <c r="F17" s="50">
        <f>SUMIFS('Journal Entries'!$I$3:$I$135,'Journal Entries'!$F$3:$F$135,A17,'Journal Entries'!$C$3:$C$135,"Opening Balance")</f>
        <v>0</v>
      </c>
      <c r="G17" s="50">
        <f>SUMIFS('Journal Entries'!$H$3:$H$135,'Journal Entries'!$F$3:$F$135,A17)-E17</f>
        <v>0</v>
      </c>
      <c r="H17" s="50">
        <f>SUMIFS('Journal Entries'!$I$3:$I$135,'Journal Entries'!$F$3:$F$135,A17)-F17</f>
        <v>0</v>
      </c>
      <c r="I17" s="50">
        <f t="shared" si="1"/>
        <v>0</v>
      </c>
      <c r="J17" s="50">
        <f t="shared" si="2"/>
        <v>0</v>
      </c>
    </row>
    <row r="18">
      <c r="A18" s="6" t="str">
        <f>'Chart of Accounts'!H19</f>
        <v>1024</v>
      </c>
      <c r="B18" s="6" t="str">
        <f>'Chart of Accounts'!I19</f>
        <v>Bank Guarrantee</v>
      </c>
      <c r="C18" s="6" t="str">
        <f>'Chart of Accounts'!A19</f>
        <v>B/S</v>
      </c>
      <c r="D18" s="6" t="str">
        <f>'Chart of Accounts'!B19</f>
        <v>Assets</v>
      </c>
      <c r="E18" s="50">
        <f>SUMIFS('Journal Entries'!$H$3:$H$135,'Journal Entries'!$F$3:$F$135,A18,'Journal Entries'!$C$3:$C$135,"Opening Balance")</f>
        <v>0</v>
      </c>
      <c r="F18" s="50">
        <f>SUMIFS('Journal Entries'!$I$3:$I$135,'Journal Entries'!$F$3:$F$135,A18,'Journal Entries'!$C$3:$C$135,"Opening Balance")</f>
        <v>0</v>
      </c>
      <c r="G18" s="50">
        <f>SUMIFS('Journal Entries'!$H$3:$H$135,'Journal Entries'!$F$3:$F$135,A18)-E18</f>
        <v>0</v>
      </c>
      <c r="H18" s="50">
        <f>SUMIFS('Journal Entries'!$I$3:$I$135,'Journal Entries'!$F$3:$F$135,A18)-F18</f>
        <v>0</v>
      </c>
      <c r="I18" s="50">
        <f t="shared" si="1"/>
        <v>0</v>
      </c>
      <c r="J18" s="50">
        <f t="shared" si="2"/>
        <v>0</v>
      </c>
    </row>
    <row r="19">
      <c r="A19" s="6" t="str">
        <f>'Chart of Accounts'!H20</f>
        <v>1025</v>
      </c>
      <c r="B19" s="6" t="str">
        <f>'Chart of Accounts'!I20</f>
        <v>Advance to Employees</v>
      </c>
      <c r="C19" s="6" t="str">
        <f>'Chart of Accounts'!A20</f>
        <v>B/S</v>
      </c>
      <c r="D19" s="6" t="str">
        <f>'Chart of Accounts'!B20</f>
        <v>Assets</v>
      </c>
      <c r="E19" s="50">
        <f>SUMIFS('Journal Entries'!$H$3:$H$135,'Journal Entries'!$F$3:$F$135,A19,'Journal Entries'!$C$3:$C$135,"Opening Balance")</f>
        <v>0</v>
      </c>
      <c r="F19" s="50">
        <f>SUMIFS('Journal Entries'!$I$3:$I$135,'Journal Entries'!$F$3:$F$135,A19,'Journal Entries'!$C$3:$C$135,"Opening Balance")</f>
        <v>0</v>
      </c>
      <c r="G19" s="50">
        <f>SUMIFS('Journal Entries'!$H$3:$H$135,'Journal Entries'!$F$3:$F$135,A19)-E19</f>
        <v>75000</v>
      </c>
      <c r="H19" s="50">
        <f>SUMIFS('Journal Entries'!$I$3:$I$135,'Journal Entries'!$F$3:$F$135,A19)-F19</f>
        <v>17500</v>
      </c>
      <c r="I19" s="50">
        <f t="shared" si="1"/>
        <v>57500</v>
      </c>
      <c r="J19" s="50">
        <f t="shared" si="2"/>
        <v>0</v>
      </c>
    </row>
    <row r="20">
      <c r="A20" s="6" t="str">
        <f>'Chart of Accounts'!H21</f>
        <v>1026</v>
      </c>
      <c r="B20" s="6" t="str">
        <f>'Chart of Accounts'!I21</f>
        <v>Prepayments</v>
      </c>
      <c r="C20" s="6" t="str">
        <f>'Chart of Accounts'!A21</f>
        <v>B/S</v>
      </c>
      <c r="D20" s="6" t="str">
        <f>'Chart of Accounts'!B21</f>
        <v>Assets</v>
      </c>
      <c r="E20" s="50">
        <f>SUMIFS('Journal Entries'!$H$3:$H$135,'Journal Entries'!$F$3:$F$135,A20,'Journal Entries'!$C$3:$C$135,"Opening Balance")</f>
        <v>0</v>
      </c>
      <c r="F20" s="50">
        <f>SUMIFS('Journal Entries'!$I$3:$I$135,'Journal Entries'!$F$3:$F$135,A20,'Journal Entries'!$C$3:$C$135,"Opening Balance")</f>
        <v>0</v>
      </c>
      <c r="G20" s="50">
        <f>SUMIFS('Journal Entries'!$H$3:$H$135,'Journal Entries'!$F$3:$F$135,A20)-E20</f>
        <v>180000</v>
      </c>
      <c r="H20" s="50">
        <f>SUMIFS('Journal Entries'!$I$3:$I$135,'Journal Entries'!$F$3:$F$135,A20)-F20</f>
        <v>15000</v>
      </c>
      <c r="I20" s="50">
        <f t="shared" si="1"/>
        <v>165000</v>
      </c>
      <c r="J20" s="50">
        <f t="shared" si="2"/>
        <v>0</v>
      </c>
    </row>
    <row r="21" ht="15.75" customHeight="1">
      <c r="A21" s="6" t="str">
        <f>'Chart of Accounts'!H22</f>
        <v>1027</v>
      </c>
      <c r="B21" s="6" t="str">
        <f>'Chart of Accounts'!I22</f>
        <v>Input sales tax</v>
      </c>
      <c r="C21" s="6" t="str">
        <f>'Chart of Accounts'!A22</f>
        <v>B/S</v>
      </c>
      <c r="D21" s="6" t="str">
        <f>'Chart of Accounts'!B22</f>
        <v>Libailities</v>
      </c>
      <c r="E21" s="50">
        <f>SUMIFS('Journal Entries'!$H$3:$H$135,'Journal Entries'!$F$3:$F$135,A21,'Journal Entries'!$C$3:$C$135,"Opening Balance")</f>
        <v>0</v>
      </c>
      <c r="F21" s="50">
        <f>SUMIFS('Journal Entries'!$I$3:$I$135,'Journal Entries'!$F$3:$F$135,A21,'Journal Entries'!$C$3:$C$135,"Opening Balance")</f>
        <v>0</v>
      </c>
      <c r="G21" s="50">
        <f>SUMIFS('Journal Entries'!$H$3:$H$135,'Journal Entries'!$F$3:$F$135,A21)-E21</f>
        <v>0</v>
      </c>
      <c r="H21" s="50">
        <f>SUMIFS('Journal Entries'!$I$3:$I$135,'Journal Entries'!$F$3:$F$135,A21)-F21</f>
        <v>0</v>
      </c>
      <c r="I21" s="50">
        <f t="shared" si="1"/>
        <v>0</v>
      </c>
      <c r="J21" s="50">
        <f t="shared" si="2"/>
        <v>0</v>
      </c>
    </row>
    <row r="22" ht="15.75" customHeight="1">
      <c r="A22" s="6" t="str">
        <f>'Chart of Accounts'!H23</f>
        <v>1028</v>
      </c>
      <c r="B22" s="6" t="str">
        <f>'Chart of Accounts'!I23</f>
        <v>PK49DUIB0000000627075001</v>
      </c>
      <c r="C22" s="6" t="str">
        <f>'Chart of Accounts'!A23</f>
        <v>B/S</v>
      </c>
      <c r="D22" s="6" t="str">
        <f>'Chart of Accounts'!B23</f>
        <v>Assets</v>
      </c>
      <c r="E22" s="50">
        <f>SUMIFS('Journal Entries'!$H$3:$H$135,'Journal Entries'!$F$3:$F$135,A22,'Journal Entries'!$C$3:$C$135,"Opening Balance")</f>
        <v>0</v>
      </c>
      <c r="F22" s="50">
        <f>SUMIFS('Journal Entries'!$I$3:$I$135,'Journal Entries'!$F$3:$F$135,A22,'Journal Entries'!$C$3:$C$135,"Opening Balance")</f>
        <v>0</v>
      </c>
      <c r="G22" s="50">
        <f>SUMIFS('Journal Entries'!$H$3:$H$135,'Journal Entries'!$F$3:$F$135,A22)-E22</f>
        <v>0</v>
      </c>
      <c r="H22" s="50">
        <f>SUMIFS('Journal Entries'!$I$3:$I$135,'Journal Entries'!$F$3:$F$135,A22)-F22</f>
        <v>0</v>
      </c>
      <c r="I22" s="50">
        <f t="shared" si="1"/>
        <v>0</v>
      </c>
      <c r="J22" s="50">
        <f t="shared" si="2"/>
        <v>0</v>
      </c>
    </row>
    <row r="23" ht="15.75" customHeight="1">
      <c r="A23" s="6" t="str">
        <f>'Chart of Accounts'!H24</f>
        <v>1029</v>
      </c>
      <c r="B23" s="6" t="str">
        <f>'Chart of Accounts'!I24</f>
        <v>PK55HABB0022827200508103</v>
      </c>
      <c r="C23" s="6" t="str">
        <f>'Chart of Accounts'!A24</f>
        <v>B/S</v>
      </c>
      <c r="D23" s="6" t="str">
        <f>'Chart of Accounts'!B24</f>
        <v>Assets</v>
      </c>
      <c r="E23" s="50">
        <f>SUMIFS('Journal Entries'!$H$3:$H$135,'Journal Entries'!$F$3:$F$135,A23,'Journal Entries'!$C$3:$C$135,"Opening Balance")</f>
        <v>3250000</v>
      </c>
      <c r="F23" s="50">
        <f>SUMIFS('Journal Entries'!$I$3:$I$135,'Journal Entries'!$F$3:$F$135,A23,'Journal Entries'!$C$3:$C$135,"Opening Balance")</f>
        <v>0</v>
      </c>
      <c r="G23" s="50">
        <f>SUMIFS('Journal Entries'!$H$3:$H$135,'Journal Entries'!$F$3:$F$135,A23)-E23</f>
        <v>4185650</v>
      </c>
      <c r="H23" s="50">
        <f>SUMIFS('Journal Entries'!$I$3:$I$135,'Journal Entries'!$F$3:$F$135,A23)-F23</f>
        <v>3437724</v>
      </c>
      <c r="I23" s="50">
        <f t="shared" si="1"/>
        <v>3997926</v>
      </c>
      <c r="J23" s="50">
        <f t="shared" si="2"/>
        <v>0</v>
      </c>
    </row>
    <row r="24" ht="15.75" customHeight="1">
      <c r="A24" s="6" t="str">
        <f>'Chart of Accounts'!H25</f>
        <v>1030</v>
      </c>
      <c r="B24" s="6" t="str">
        <f>'Chart of Accounts'!I25</f>
        <v>PK24MEZN0001110107095251</v>
      </c>
      <c r="C24" s="6" t="str">
        <f>'Chart of Accounts'!A25</f>
        <v>B/S</v>
      </c>
      <c r="D24" s="6" t="str">
        <f>'Chart of Accounts'!B25</f>
        <v>Assets</v>
      </c>
      <c r="E24" s="50">
        <f>SUMIFS('Journal Entries'!$H$3:$H$135,'Journal Entries'!$F$3:$F$135,A24,'Journal Entries'!$C$3:$C$135,"Opening Balance")</f>
        <v>480000</v>
      </c>
      <c r="F24" s="50">
        <f>SUMIFS('Journal Entries'!$I$3:$I$135,'Journal Entries'!$F$3:$F$135,A24,'Journal Entries'!$C$3:$C$135,"Opening Balance")</f>
        <v>0</v>
      </c>
      <c r="G24" s="50">
        <f>SUMIFS('Journal Entries'!$H$3:$H$135,'Journal Entries'!$F$3:$F$135,A24)-E24</f>
        <v>1454500</v>
      </c>
      <c r="H24" s="50">
        <f>SUMIFS('Journal Entries'!$I$3:$I$135,'Journal Entries'!$F$3:$F$135,A24)-F24</f>
        <v>1875588</v>
      </c>
      <c r="I24" s="50">
        <f t="shared" si="1"/>
        <v>58912</v>
      </c>
      <c r="J24" s="50">
        <f t="shared" si="2"/>
        <v>0</v>
      </c>
    </row>
    <row r="25" ht="15.75" customHeight="1">
      <c r="A25" s="6" t="str">
        <f>'Chart of Accounts'!H26</f>
        <v>1031</v>
      </c>
      <c r="B25" s="6" t="str">
        <f>'Chart of Accounts'!I26</f>
        <v>PK75MPBL0124067140164610</v>
      </c>
      <c r="C25" s="6" t="str">
        <f>'Chart of Accounts'!A26</f>
        <v>B/S</v>
      </c>
      <c r="D25" s="6" t="str">
        <f>'Chart of Accounts'!B26</f>
        <v>Assets</v>
      </c>
      <c r="E25" s="50">
        <f>SUMIFS('Journal Entries'!$H$3:$H$135,'Journal Entries'!$F$3:$F$135,A25,'Journal Entries'!$C$3:$C$135,"Opening Balance")</f>
        <v>0</v>
      </c>
      <c r="F25" s="50">
        <f>SUMIFS('Journal Entries'!$I$3:$I$135,'Journal Entries'!$F$3:$F$135,A25,'Journal Entries'!$C$3:$C$135,"Opening Balance")</f>
        <v>0</v>
      </c>
      <c r="G25" s="50">
        <f>SUMIFS('Journal Entries'!$H$3:$H$135,'Journal Entries'!$F$3:$F$135,A25)-E25</f>
        <v>0</v>
      </c>
      <c r="H25" s="50">
        <f>SUMIFS('Journal Entries'!$I$3:$I$135,'Journal Entries'!$F$3:$F$135,A25)-F25</f>
        <v>0</v>
      </c>
      <c r="I25" s="50">
        <f t="shared" si="1"/>
        <v>0</v>
      </c>
      <c r="J25" s="50">
        <f t="shared" si="2"/>
        <v>0</v>
      </c>
    </row>
    <row r="26" ht="15.75" customHeight="1">
      <c r="A26" s="6" t="str">
        <f>'Chart of Accounts'!H27</f>
        <v>1032</v>
      </c>
      <c r="B26" s="6" t="str">
        <f>'Chart of Accounts'!I27</f>
        <v>Sales Tax Payable</v>
      </c>
      <c r="C26" s="6" t="str">
        <f>'Chart of Accounts'!A27</f>
        <v>B/S</v>
      </c>
      <c r="D26" s="6" t="str">
        <f>'Chart of Accounts'!B27</f>
        <v>Libailities</v>
      </c>
      <c r="E26" s="50">
        <f>SUMIFS('Journal Entries'!$H$3:$H$135,'Journal Entries'!$F$3:$F$135,A26,'Journal Entries'!$C$3:$C$135,"Opening Balance")</f>
        <v>0</v>
      </c>
      <c r="F26" s="50">
        <f>SUMIFS('Journal Entries'!$I$3:$I$135,'Journal Entries'!$F$3:$F$135,A26,'Journal Entries'!$C$3:$C$135,"Opening Balance")</f>
        <v>0</v>
      </c>
      <c r="G26" s="50">
        <f>SUMIFS('Journal Entries'!$H$3:$H$135,'Journal Entries'!$F$3:$F$135,A26)-E26</f>
        <v>0</v>
      </c>
      <c r="H26" s="50">
        <f>SUMIFS('Journal Entries'!$I$3:$I$135,'Journal Entries'!$F$3:$F$135,A26)-F26</f>
        <v>0</v>
      </c>
      <c r="I26" s="50">
        <f t="shared" si="1"/>
        <v>0</v>
      </c>
      <c r="J26" s="50">
        <f t="shared" si="2"/>
        <v>0</v>
      </c>
    </row>
    <row r="27" ht="15.75" customHeight="1">
      <c r="A27" s="6" t="str">
        <f>'Chart of Accounts'!H28</f>
        <v>1033</v>
      </c>
      <c r="B27" s="6" t="str">
        <f>'Chart of Accounts'!I28</f>
        <v>Contract liability</v>
      </c>
      <c r="C27" s="6" t="str">
        <f>'Chart of Accounts'!A28</f>
        <v>B/S</v>
      </c>
      <c r="D27" s="6" t="str">
        <f>'Chart of Accounts'!B28</f>
        <v>Libailities</v>
      </c>
      <c r="E27" s="50">
        <f>SUMIFS('Journal Entries'!$H$3:$H$135,'Journal Entries'!$F$3:$F$135,A27,'Journal Entries'!$C$3:$C$135,"Opening Balance")</f>
        <v>0</v>
      </c>
      <c r="F27" s="50">
        <f>SUMIFS('Journal Entries'!$I$3:$I$135,'Journal Entries'!$F$3:$F$135,A27,'Journal Entries'!$C$3:$C$135,"Opening Balance")</f>
        <v>0</v>
      </c>
      <c r="G27" s="50">
        <f>SUMIFS('Journal Entries'!$H$3:$H$135,'Journal Entries'!$F$3:$F$135,A27)-E27</f>
        <v>0</v>
      </c>
      <c r="H27" s="50">
        <f>SUMIFS('Journal Entries'!$I$3:$I$135,'Journal Entries'!$F$3:$F$135,A27)-F27</f>
        <v>0</v>
      </c>
      <c r="I27" s="50">
        <f t="shared" si="1"/>
        <v>0</v>
      </c>
      <c r="J27" s="50">
        <f t="shared" si="2"/>
        <v>0</v>
      </c>
    </row>
    <row r="28" ht="15.75" customHeight="1">
      <c r="A28" s="6" t="str">
        <f>'Chart of Accounts'!H29</f>
        <v>1034</v>
      </c>
      <c r="B28" s="6" t="str">
        <f>'Chart of Accounts'!I29</f>
        <v>Accrued payroll</v>
      </c>
      <c r="C28" s="6" t="str">
        <f>'Chart of Accounts'!A29</f>
        <v>B/S</v>
      </c>
      <c r="D28" s="6" t="str">
        <f>'Chart of Accounts'!B29</f>
        <v>Libailities</v>
      </c>
      <c r="E28" s="50">
        <f>SUMIFS('Journal Entries'!$H$3:$H$135,'Journal Entries'!$F$3:$F$135,A28,'Journal Entries'!$C$3:$C$135,"Opening Balance")</f>
        <v>0</v>
      </c>
      <c r="F28" s="50">
        <f>SUMIFS('Journal Entries'!$I$3:$I$135,'Journal Entries'!$F$3:$F$135,A28,'Journal Entries'!$C$3:$C$135,"Opening Balance")</f>
        <v>1100000</v>
      </c>
      <c r="G28" s="50">
        <f>SUMIFS('Journal Entries'!$H$3:$H$135,'Journal Entries'!$F$3:$F$135,A28)-E28</f>
        <v>1059650</v>
      </c>
      <c r="H28" s="50">
        <f>SUMIFS('Journal Entries'!$I$3:$I$135,'Journal Entries'!$F$3:$F$135,A28)-F28</f>
        <v>315000</v>
      </c>
      <c r="I28" s="50">
        <f t="shared" si="1"/>
        <v>0</v>
      </c>
      <c r="J28" s="50">
        <f t="shared" si="2"/>
        <v>355350</v>
      </c>
    </row>
    <row r="29" ht="15.75" customHeight="1">
      <c r="A29" s="6" t="str">
        <f>'Chart of Accounts'!H30</f>
        <v>1035</v>
      </c>
      <c r="B29" s="6" t="str">
        <f>'Chart of Accounts'!I30</f>
        <v>Accrued expenses</v>
      </c>
      <c r="C29" s="6" t="str">
        <f>'Chart of Accounts'!A30</f>
        <v>B/S</v>
      </c>
      <c r="D29" s="6" t="str">
        <f>'Chart of Accounts'!B30</f>
        <v>Libailities</v>
      </c>
      <c r="E29" s="50">
        <f>SUMIFS('Journal Entries'!$H$3:$H$135,'Journal Entries'!$F$3:$F$135,A29,'Journal Entries'!$C$3:$C$135,"Opening Balance")</f>
        <v>0</v>
      </c>
      <c r="F29" s="50">
        <f>SUMIFS('Journal Entries'!$I$3:$I$135,'Journal Entries'!$F$3:$F$135,A29,'Journal Entries'!$C$3:$C$135,"Opening Balance")</f>
        <v>0</v>
      </c>
      <c r="G29" s="50">
        <f>SUMIFS('Journal Entries'!$H$3:$H$135,'Journal Entries'!$F$3:$F$135,A29)-E29</f>
        <v>0</v>
      </c>
      <c r="H29" s="50">
        <f>SUMIFS('Journal Entries'!$I$3:$I$135,'Journal Entries'!$F$3:$F$135,A29)-F29</f>
        <v>400000</v>
      </c>
      <c r="I29" s="50">
        <f t="shared" si="1"/>
        <v>0</v>
      </c>
      <c r="J29" s="50">
        <f t="shared" si="2"/>
        <v>400000</v>
      </c>
    </row>
    <row r="30" ht="15.75" customHeight="1">
      <c r="A30" s="6" t="str">
        <f>'Chart of Accounts'!H31</f>
        <v>1036</v>
      </c>
      <c r="B30" s="6" t="str">
        <f>'Chart of Accounts'!I31</f>
        <v>Withholding tax payable:Withholding tax - Vendors</v>
      </c>
      <c r="C30" s="6" t="str">
        <f>'Chart of Accounts'!A31</f>
        <v>B/S</v>
      </c>
      <c r="D30" s="6" t="str">
        <f>'Chart of Accounts'!B31</f>
        <v>Libailities</v>
      </c>
      <c r="E30" s="50">
        <f>SUMIFS('Journal Entries'!$H$3:$H$135,'Journal Entries'!$F$3:$F$135,A30,'Journal Entries'!$C$3:$C$135,"Opening Balance")</f>
        <v>0</v>
      </c>
      <c r="F30" s="50">
        <f>SUMIFS('Journal Entries'!$I$3:$I$135,'Journal Entries'!$F$3:$F$135,A30,'Journal Entries'!$C$3:$C$135,"Opening Balance")</f>
        <v>0</v>
      </c>
      <c r="G30" s="50">
        <f>SUMIFS('Journal Entries'!$H$3:$H$135,'Journal Entries'!$F$3:$F$135,A30)-E30</f>
        <v>3350</v>
      </c>
      <c r="H30" s="50">
        <f>SUMIFS('Journal Entries'!$I$3:$I$135,'Journal Entries'!$F$3:$F$135,A30)-F30</f>
        <v>0</v>
      </c>
      <c r="I30" s="50">
        <f t="shared" si="1"/>
        <v>3350</v>
      </c>
      <c r="J30" s="50">
        <f t="shared" si="2"/>
        <v>0</v>
      </c>
    </row>
    <row r="31" ht="15.75" customHeight="1">
      <c r="A31" s="6" t="str">
        <f>'Chart of Accounts'!H32</f>
        <v>1037</v>
      </c>
      <c r="B31" s="6" t="str">
        <f>'Chart of Accounts'!I32</f>
        <v>Advance against issue of shares</v>
      </c>
      <c r="C31" s="6" t="str">
        <f>'Chart of Accounts'!A32</f>
        <v>B/S</v>
      </c>
      <c r="D31" s="6" t="str">
        <f>'Chart of Accounts'!B32</f>
        <v>Equity</v>
      </c>
      <c r="E31" s="50">
        <f>SUMIFS('Journal Entries'!$H$3:$H$135,'Journal Entries'!$F$3:$F$135,A31,'Journal Entries'!$C$3:$C$135,"Opening Balance")</f>
        <v>0</v>
      </c>
      <c r="F31" s="50">
        <f>SUMIFS('Journal Entries'!$I$3:$I$135,'Journal Entries'!$F$3:$F$135,A31,'Journal Entries'!$C$3:$C$135,"Opening Balance")</f>
        <v>0</v>
      </c>
      <c r="G31" s="50">
        <f>SUMIFS('Journal Entries'!$H$3:$H$135,'Journal Entries'!$F$3:$F$135,A31)-E31</f>
        <v>0</v>
      </c>
      <c r="H31" s="50">
        <f>SUMIFS('Journal Entries'!$I$3:$I$135,'Journal Entries'!$F$3:$F$135,A31)-F31</f>
        <v>0</v>
      </c>
      <c r="I31" s="50">
        <f t="shared" si="1"/>
        <v>0</v>
      </c>
      <c r="J31" s="50">
        <f t="shared" si="2"/>
        <v>0</v>
      </c>
    </row>
    <row r="32" ht="15.75" customHeight="1">
      <c r="A32" s="6" t="str">
        <f>'Chart of Accounts'!H33</f>
        <v>1038</v>
      </c>
      <c r="B32" s="6" t="str">
        <f>'Chart of Accounts'!I33</f>
        <v>Retained Earnings</v>
      </c>
      <c r="C32" s="6" t="str">
        <f>'Chart of Accounts'!A33</f>
        <v>B/S</v>
      </c>
      <c r="D32" s="6" t="str">
        <f>'Chart of Accounts'!B33</f>
        <v>Equity</v>
      </c>
      <c r="E32" s="50">
        <f>SUMIFS('Journal Entries'!$H$3:$H$135,'Journal Entries'!$F$3:$F$135,A32,'Journal Entries'!$C$3:$C$135,"Opening Balance")</f>
        <v>0</v>
      </c>
      <c r="F32" s="50">
        <f>SUMIFS('Journal Entries'!$I$3:$I$135,'Journal Entries'!$F$3:$F$135,A32,'Journal Entries'!$C$3:$C$135,"Opening Balance")</f>
        <v>6630000</v>
      </c>
      <c r="G32" s="50">
        <f>SUMIFS('Journal Entries'!$H$3:$H$135,'Journal Entries'!$F$3:$F$135,A32)-E32</f>
        <v>0</v>
      </c>
      <c r="H32" s="50">
        <f>SUMIFS('Journal Entries'!$I$3:$I$135,'Journal Entries'!$F$3:$F$135,A32)-F32</f>
        <v>0</v>
      </c>
      <c r="I32" s="50">
        <f t="shared" si="1"/>
        <v>0</v>
      </c>
      <c r="J32" s="50">
        <f t="shared" si="2"/>
        <v>6630000</v>
      </c>
    </row>
    <row r="33" ht="15.75" customHeight="1">
      <c r="A33" s="6" t="str">
        <f>'Chart of Accounts'!H34</f>
        <v>1039</v>
      </c>
      <c r="B33" s="6" t="str">
        <f>'Chart of Accounts'!I34</f>
        <v>Share premium</v>
      </c>
      <c r="C33" s="6" t="str">
        <f>'Chart of Accounts'!A34</f>
        <v>B/S</v>
      </c>
      <c r="D33" s="6" t="str">
        <f>'Chart of Accounts'!B34</f>
        <v>Equity</v>
      </c>
      <c r="E33" s="50">
        <f>SUMIFS('Journal Entries'!$H$3:$H$135,'Journal Entries'!$F$3:$F$135,A33,'Journal Entries'!$C$3:$C$135,"Opening Balance")</f>
        <v>0</v>
      </c>
      <c r="F33" s="50">
        <f>SUMIFS('Journal Entries'!$I$3:$I$135,'Journal Entries'!$F$3:$F$135,A33,'Journal Entries'!$C$3:$C$135,"Opening Balance")</f>
        <v>0</v>
      </c>
      <c r="G33" s="50">
        <f>SUMIFS('Journal Entries'!$H$3:$H$135,'Journal Entries'!$F$3:$F$135,A33)-E33</f>
        <v>0</v>
      </c>
      <c r="H33" s="50">
        <f>SUMIFS('Journal Entries'!$I$3:$I$135,'Journal Entries'!$F$3:$F$135,A33)-F33</f>
        <v>0</v>
      </c>
      <c r="I33" s="50">
        <f t="shared" si="1"/>
        <v>0</v>
      </c>
      <c r="J33" s="50">
        <f t="shared" si="2"/>
        <v>0</v>
      </c>
    </row>
    <row r="34" ht="15.75" customHeight="1">
      <c r="A34" s="6" t="str">
        <f>'Chart of Accounts'!H35</f>
        <v>1040</v>
      </c>
      <c r="B34" s="6" t="str">
        <f>'Chart of Accounts'!I35</f>
        <v>Share capital</v>
      </c>
      <c r="C34" s="6" t="str">
        <f>'Chart of Accounts'!A35</f>
        <v>B/S</v>
      </c>
      <c r="D34" s="6" t="str">
        <f>'Chart of Accounts'!B35</f>
        <v>Equity</v>
      </c>
      <c r="E34" s="50">
        <f>SUMIFS('Journal Entries'!$H$3:$H$135,'Journal Entries'!$F$3:$F$135,A34,'Journal Entries'!$C$3:$C$135,"Opening Balance")</f>
        <v>0</v>
      </c>
      <c r="F34" s="50">
        <f>SUMIFS('Journal Entries'!$I$3:$I$135,'Journal Entries'!$F$3:$F$135,A34,'Journal Entries'!$C$3:$C$135,"Opening Balance")</f>
        <v>0</v>
      </c>
      <c r="G34" s="50">
        <f>SUMIFS('Journal Entries'!$H$3:$H$135,'Journal Entries'!$F$3:$F$135,A34)-E34</f>
        <v>0</v>
      </c>
      <c r="H34" s="50">
        <f>SUMIFS('Journal Entries'!$I$3:$I$135,'Journal Entries'!$F$3:$F$135,A34)-F34</f>
        <v>0</v>
      </c>
      <c r="I34" s="50">
        <f t="shared" si="1"/>
        <v>0</v>
      </c>
      <c r="J34" s="50">
        <f t="shared" si="2"/>
        <v>0</v>
      </c>
    </row>
    <row r="35" ht="15.75" customHeight="1">
      <c r="A35" s="6" t="str">
        <f>'Chart of Accounts'!H36</f>
        <v>1041</v>
      </c>
      <c r="B35" s="6" t="str">
        <f>'Chart of Accounts'!I36</f>
        <v>ABHI</v>
      </c>
      <c r="C35" s="6" t="str">
        <f>'Chart of Accounts'!A36</f>
        <v>B/S</v>
      </c>
      <c r="D35" s="6" t="str">
        <f>'Chart of Accounts'!B36</f>
        <v>Libailities</v>
      </c>
      <c r="E35" s="50">
        <f>SUMIFS('Journal Entries'!$H$3:$H$135,'Journal Entries'!$F$3:$F$135,A35,'Journal Entries'!$C$3:$C$135,"Opening Balance")</f>
        <v>0</v>
      </c>
      <c r="F35" s="50">
        <f>SUMIFS('Journal Entries'!$I$3:$I$135,'Journal Entries'!$F$3:$F$135,A35,'Journal Entries'!$C$3:$C$135,"Opening Balance")</f>
        <v>0</v>
      </c>
      <c r="G35" s="50">
        <f>SUMIFS('Journal Entries'!$H$3:$H$135,'Journal Entries'!$F$3:$F$135,A35)-E35</f>
        <v>0</v>
      </c>
      <c r="H35" s="50">
        <f>SUMIFS('Journal Entries'!$I$3:$I$135,'Journal Entries'!$F$3:$F$135,A35)-F35</f>
        <v>0</v>
      </c>
      <c r="I35" s="50">
        <f t="shared" si="1"/>
        <v>0</v>
      </c>
      <c r="J35" s="50">
        <f t="shared" si="2"/>
        <v>0</v>
      </c>
    </row>
    <row r="36" ht="15.75" customHeight="1">
      <c r="A36" s="6" t="str">
        <f>'Chart of Accounts'!H37</f>
        <v>1042</v>
      </c>
      <c r="B36" s="6" t="str">
        <f>'Chart of Accounts'!I37</f>
        <v>Audit Fee Payable</v>
      </c>
      <c r="C36" s="6" t="str">
        <f>'Chart of Accounts'!A37</f>
        <v>B/S</v>
      </c>
      <c r="D36" s="6" t="str">
        <f>'Chart of Accounts'!B37</f>
        <v>Libailities</v>
      </c>
      <c r="E36" s="50">
        <f>SUMIFS('Journal Entries'!$H$3:$H$135,'Journal Entries'!$F$3:$F$135,A36,'Journal Entries'!$C$3:$C$135,"Opening Balance")</f>
        <v>0</v>
      </c>
      <c r="F36" s="50">
        <f>SUMIFS('Journal Entries'!$I$3:$I$135,'Journal Entries'!$F$3:$F$135,A36,'Journal Entries'!$C$3:$C$135,"Opening Balance")</f>
        <v>0</v>
      </c>
      <c r="G36" s="50">
        <f>SUMIFS('Journal Entries'!$H$3:$H$135,'Journal Entries'!$F$3:$F$135,A36)-E36</f>
        <v>0</v>
      </c>
      <c r="H36" s="50">
        <f>SUMIFS('Journal Entries'!$I$3:$I$135,'Journal Entries'!$F$3:$F$135,A36)-F36</f>
        <v>0</v>
      </c>
      <c r="I36" s="50">
        <f t="shared" si="1"/>
        <v>0</v>
      </c>
      <c r="J36" s="50">
        <f t="shared" si="2"/>
        <v>0</v>
      </c>
    </row>
    <row r="37" ht="15.75" customHeight="1">
      <c r="A37" s="6" t="str">
        <f>'Chart of Accounts'!H38</f>
        <v>1043</v>
      </c>
      <c r="B37" s="6" t="str">
        <f>'Chart of Accounts'!I38</f>
        <v>Prepaid Leasehold</v>
      </c>
      <c r="C37" s="6" t="str">
        <f>'Chart of Accounts'!A38</f>
        <v>B/S</v>
      </c>
      <c r="D37" s="6" t="str">
        <f>'Chart of Accounts'!B38</f>
        <v>Assets</v>
      </c>
      <c r="E37" s="50">
        <f>SUMIFS('Journal Entries'!$H$3:$H$135,'Journal Entries'!$F$3:$F$135,A37,'Journal Entries'!$C$3:$C$135,"Opening Balance")</f>
        <v>0</v>
      </c>
      <c r="F37" s="50">
        <f>SUMIFS('Journal Entries'!$I$3:$I$135,'Journal Entries'!$F$3:$F$135,A37,'Journal Entries'!$C$3:$C$135,"Opening Balance")</f>
        <v>0</v>
      </c>
      <c r="G37" s="50">
        <f>SUMIFS('Journal Entries'!$H$3:$H$135,'Journal Entries'!$F$3:$F$135,A37)-E37</f>
        <v>0</v>
      </c>
      <c r="H37" s="50">
        <f>SUMIFS('Journal Entries'!$I$3:$I$135,'Journal Entries'!$F$3:$F$135,A37)-F37</f>
        <v>0</v>
      </c>
      <c r="I37" s="50">
        <f t="shared" si="1"/>
        <v>0</v>
      </c>
      <c r="J37" s="50">
        <f t="shared" si="2"/>
        <v>0</v>
      </c>
    </row>
    <row r="38" ht="15.75" customHeight="1">
      <c r="A38" s="6" t="str">
        <f>'Chart of Accounts'!H39</f>
        <v>1044</v>
      </c>
      <c r="B38" s="6" t="str">
        <f>'Chart of Accounts'!I39</f>
        <v>Advance tax</v>
      </c>
      <c r="C38" s="6" t="str">
        <f>'Chart of Accounts'!A39</f>
        <v>B/S</v>
      </c>
      <c r="D38" s="6" t="str">
        <f>'Chart of Accounts'!B39</f>
        <v>Assets</v>
      </c>
      <c r="E38" s="50">
        <f>SUMIFS('Journal Entries'!$H$3:$H$135,'Journal Entries'!$F$3:$F$135,A38,'Journal Entries'!$C$3:$C$135,"Opening Balance")</f>
        <v>0</v>
      </c>
      <c r="F38" s="50">
        <f>SUMIFS('Journal Entries'!$I$3:$I$135,'Journal Entries'!$F$3:$F$135,A38,'Journal Entries'!$C$3:$C$135,"Opening Balance")</f>
        <v>0</v>
      </c>
      <c r="G38" s="50">
        <f>SUMIFS('Journal Entries'!$H$3:$H$135,'Journal Entries'!$F$3:$F$135,A38)-E38</f>
        <v>0</v>
      </c>
      <c r="H38" s="50">
        <f>SUMIFS('Journal Entries'!$I$3:$I$135,'Journal Entries'!$F$3:$F$135,A38)-F38</f>
        <v>0</v>
      </c>
      <c r="I38" s="50">
        <f t="shared" si="1"/>
        <v>0</v>
      </c>
      <c r="J38" s="50">
        <f t="shared" si="2"/>
        <v>0</v>
      </c>
    </row>
    <row r="39" ht="15.75" customHeight="1">
      <c r="A39" s="6" t="str">
        <f>'Chart of Accounts'!H40</f>
        <v>1045</v>
      </c>
      <c r="B39" s="6" t="str">
        <f>'Chart of Accounts'!I40</f>
        <v>WHT on Bank Profit</v>
      </c>
      <c r="C39" s="6" t="str">
        <f>'Chart of Accounts'!A40</f>
        <v>B/S</v>
      </c>
      <c r="D39" s="6" t="str">
        <f>'Chart of Accounts'!B40</f>
        <v>Assets</v>
      </c>
      <c r="E39" s="50">
        <f>SUMIFS('Journal Entries'!$H$3:$H$135,'Journal Entries'!$F$3:$F$135,A39,'Journal Entries'!$C$3:$C$135,"Opening Balance")</f>
        <v>0</v>
      </c>
      <c r="F39" s="50">
        <f>SUMIFS('Journal Entries'!$I$3:$I$135,'Journal Entries'!$F$3:$F$135,A39,'Journal Entries'!$C$3:$C$135,"Opening Balance")</f>
        <v>0</v>
      </c>
      <c r="G39" s="50">
        <f>SUMIFS('Journal Entries'!$H$3:$H$135,'Journal Entries'!$F$3:$F$135,A39)-E39</f>
        <v>2768</v>
      </c>
      <c r="H39" s="50">
        <f>SUMIFS('Journal Entries'!$I$3:$I$135,'Journal Entries'!$F$3:$F$135,A39)-F39</f>
        <v>0</v>
      </c>
      <c r="I39" s="50">
        <f t="shared" si="1"/>
        <v>2768</v>
      </c>
      <c r="J39" s="50">
        <f t="shared" si="2"/>
        <v>0</v>
      </c>
    </row>
    <row r="40" ht="15.75" customHeight="1">
      <c r="A40" s="6" t="str">
        <f>'Chart of Accounts'!H41</f>
        <v>1046</v>
      </c>
      <c r="B40" s="6" t="str">
        <f>'Chart of Accounts'!I41</f>
        <v>Withholding tax :Withholding tax - Utilities</v>
      </c>
      <c r="C40" s="6" t="str">
        <f>'Chart of Accounts'!A41</f>
        <v>B/S</v>
      </c>
      <c r="D40" s="6" t="str">
        <f>'Chart of Accounts'!B41</f>
        <v>Assets</v>
      </c>
      <c r="E40" s="50">
        <f>SUMIFS('Journal Entries'!$H$3:$H$135,'Journal Entries'!$F$3:$F$135,A40,'Journal Entries'!$C$3:$C$135,"Opening Balance")</f>
        <v>0</v>
      </c>
      <c r="F40" s="50">
        <f>SUMIFS('Journal Entries'!$I$3:$I$135,'Journal Entries'!$F$3:$F$135,A40,'Journal Entries'!$C$3:$C$135,"Opening Balance")</f>
        <v>0</v>
      </c>
      <c r="G40" s="50">
        <f>SUMIFS('Journal Entries'!$H$3:$H$135,'Journal Entries'!$F$3:$F$135,A40)-E40</f>
        <v>0</v>
      </c>
      <c r="H40" s="50">
        <f>SUMIFS('Journal Entries'!$I$3:$I$135,'Journal Entries'!$F$3:$F$135,A40)-F40</f>
        <v>0</v>
      </c>
      <c r="I40" s="50">
        <f t="shared" si="1"/>
        <v>0</v>
      </c>
      <c r="J40" s="50">
        <f t="shared" si="2"/>
        <v>0</v>
      </c>
    </row>
    <row r="41" ht="15.75" customHeight="1">
      <c r="A41" s="6" t="str">
        <f>'Chart of Accounts'!H42</f>
        <v>1047</v>
      </c>
      <c r="B41" s="6" t="str">
        <f>'Chart of Accounts'!I42</f>
        <v>Provision for Taxation</v>
      </c>
      <c r="C41" s="6" t="str">
        <f>'Chart of Accounts'!A42</f>
        <v>B/S</v>
      </c>
      <c r="D41" s="6" t="str">
        <f>'Chart of Accounts'!B42</f>
        <v>Assets</v>
      </c>
      <c r="E41" s="50">
        <f>SUMIFS('Journal Entries'!$H$3:$H$135,'Journal Entries'!$F$3:$F$135,A41,'Journal Entries'!$C$3:$C$135,"Opening Balance")</f>
        <v>0</v>
      </c>
      <c r="F41" s="50">
        <f>SUMIFS('Journal Entries'!$I$3:$I$135,'Journal Entries'!$F$3:$F$135,A41,'Journal Entries'!$C$3:$C$135,"Opening Balance")</f>
        <v>0</v>
      </c>
      <c r="G41" s="50">
        <f>SUMIFS('Journal Entries'!$H$3:$H$135,'Journal Entries'!$F$3:$F$135,A41)-E41</f>
        <v>0</v>
      </c>
      <c r="H41" s="50">
        <f>SUMIFS('Journal Entries'!$I$3:$I$135,'Journal Entries'!$F$3:$F$135,A41)-F41</f>
        <v>140000</v>
      </c>
      <c r="I41" s="50">
        <f t="shared" si="1"/>
        <v>0</v>
      </c>
      <c r="J41" s="50">
        <f t="shared" si="2"/>
        <v>140000</v>
      </c>
    </row>
    <row r="42" ht="15.75" customHeight="1">
      <c r="A42" s="6" t="str">
        <f>'Chart of Accounts'!H43</f>
        <v>1048</v>
      </c>
      <c r="B42" s="6" t="str">
        <f>'Chart of Accounts'!I43</f>
        <v>Taxation ( Current Year)</v>
      </c>
      <c r="C42" s="6" t="str">
        <f>'Chart of Accounts'!A43</f>
        <v>P&amp;L</v>
      </c>
      <c r="D42" s="6" t="str">
        <f>'Chart of Accounts'!B43</f>
        <v>Expenses</v>
      </c>
      <c r="E42" s="50">
        <f>SUMIFS('Journal Entries'!$H$3:$H$135,'Journal Entries'!$F$3:$F$135,A42,'Journal Entries'!$C$3:$C$135,"Opening Balance")</f>
        <v>0</v>
      </c>
      <c r="F42" s="50">
        <f>SUMIFS('Journal Entries'!$I$3:$I$135,'Journal Entries'!$F$3:$F$135,A42,'Journal Entries'!$C$3:$C$135,"Opening Balance")</f>
        <v>0</v>
      </c>
      <c r="G42" s="50">
        <f>SUMIFS('Journal Entries'!$H$3:$H$135,'Journal Entries'!$F$3:$F$135,A42)-E42</f>
        <v>140000</v>
      </c>
      <c r="H42" s="50">
        <f>SUMIFS('Journal Entries'!$I$3:$I$135,'Journal Entries'!$F$3:$F$135,A42)-F42</f>
        <v>0</v>
      </c>
      <c r="I42" s="50">
        <f t="shared" si="1"/>
        <v>140000</v>
      </c>
      <c r="J42" s="50">
        <f t="shared" si="2"/>
        <v>0</v>
      </c>
    </row>
    <row r="43" ht="15.75" customHeight="1">
      <c r="A43" s="6" t="str">
        <f>'Chart of Accounts'!H44</f>
        <v>1049</v>
      </c>
      <c r="B43" s="6" t="str">
        <f>'Chart of Accounts'!I44</f>
        <v>Fleet Subsidy</v>
      </c>
      <c r="C43" s="6" t="str">
        <f>'Chart of Accounts'!A44</f>
        <v>P&amp;L</v>
      </c>
      <c r="D43" s="6" t="str">
        <f>'Chart of Accounts'!B44</f>
        <v>Expenses</v>
      </c>
      <c r="E43" s="50">
        <f>SUMIFS('Journal Entries'!$H$3:$H$135,'Journal Entries'!$F$3:$F$135,A43,'Journal Entries'!$C$3:$C$135,"Opening Balance")</f>
        <v>0</v>
      </c>
      <c r="F43" s="50">
        <f>SUMIFS('Journal Entries'!$I$3:$I$135,'Journal Entries'!$F$3:$F$135,A43,'Journal Entries'!$C$3:$C$135,"Opening Balance")</f>
        <v>0</v>
      </c>
      <c r="G43" s="50">
        <f>SUMIFS('Journal Entries'!$H$3:$H$135,'Journal Entries'!$F$3:$F$135,A43)-E43</f>
        <v>0</v>
      </c>
      <c r="H43" s="50">
        <f>SUMIFS('Journal Entries'!$I$3:$I$135,'Journal Entries'!$F$3:$F$135,A43)-F43</f>
        <v>0</v>
      </c>
      <c r="I43" s="50">
        <f t="shared" si="1"/>
        <v>0</v>
      </c>
      <c r="J43" s="50">
        <f t="shared" si="2"/>
        <v>0</v>
      </c>
    </row>
    <row r="44" ht="15.75" customHeight="1">
      <c r="A44" s="6" t="str">
        <f>'Chart of Accounts'!H45</f>
        <v>1050</v>
      </c>
      <c r="B44" s="6" t="str">
        <f>'Chart of Accounts'!I45</f>
        <v>Sales revenue</v>
      </c>
      <c r="C44" s="6" t="str">
        <f>'Chart of Accounts'!A45</f>
        <v>P&amp;L</v>
      </c>
      <c r="D44" s="6" t="str">
        <f>'Chart of Accounts'!B45</f>
        <v>Revenue</v>
      </c>
      <c r="E44" s="50">
        <f>SUMIFS('Journal Entries'!$H$3:$H$135,'Journal Entries'!$F$3:$F$135,A44,'Journal Entries'!$C$3:$C$135,"Opening Balance")</f>
        <v>0</v>
      </c>
      <c r="F44" s="50">
        <f>SUMIFS('Journal Entries'!$I$3:$I$135,'Journal Entries'!$F$3:$F$135,A44,'Journal Entries'!$C$3:$C$135,"Opening Balance")</f>
        <v>0</v>
      </c>
      <c r="G44" s="50">
        <f>SUMIFS('Journal Entries'!$H$3:$H$135,'Journal Entries'!$F$3:$F$135,A44)-E44</f>
        <v>0</v>
      </c>
      <c r="H44" s="50">
        <f>SUMIFS('Journal Entries'!$I$3:$I$135,'Journal Entries'!$F$3:$F$135,A44)-F44</f>
        <v>1149000</v>
      </c>
      <c r="I44" s="50">
        <f t="shared" si="1"/>
        <v>0</v>
      </c>
      <c r="J44" s="50">
        <f t="shared" si="2"/>
        <v>1149000</v>
      </c>
    </row>
    <row r="45" ht="15.75" customHeight="1">
      <c r="A45" s="6" t="str">
        <f>'Chart of Accounts'!H46</f>
        <v>1051</v>
      </c>
      <c r="B45" s="6" t="str">
        <f>'Chart of Accounts'!I46</f>
        <v>Allowance for doubtful debts</v>
      </c>
      <c r="C45" s="6" t="str">
        <f>'Chart of Accounts'!A46</f>
        <v>P&amp;L</v>
      </c>
      <c r="D45" s="6" t="str">
        <f>'Chart of Accounts'!B46</f>
        <v>Expenses</v>
      </c>
      <c r="E45" s="50">
        <f>SUMIFS('Journal Entries'!$H$3:$H$135,'Journal Entries'!$F$3:$F$135,A45,'Journal Entries'!$C$3:$C$135,"Opening Balance")</f>
        <v>0</v>
      </c>
      <c r="F45" s="50">
        <f>SUMIFS('Journal Entries'!$I$3:$I$135,'Journal Entries'!$F$3:$F$135,A45,'Journal Entries'!$C$3:$C$135,"Opening Balance")</f>
        <v>0</v>
      </c>
      <c r="G45" s="50">
        <f>SUMIFS('Journal Entries'!$H$3:$H$135,'Journal Entries'!$F$3:$F$135,A45)-E45</f>
        <v>0</v>
      </c>
      <c r="H45" s="50">
        <f>SUMIFS('Journal Entries'!$I$3:$I$135,'Journal Entries'!$F$3:$F$135,A45)-F45</f>
        <v>0</v>
      </c>
      <c r="I45" s="50">
        <f t="shared" si="1"/>
        <v>0</v>
      </c>
      <c r="J45" s="50">
        <f t="shared" si="2"/>
        <v>0</v>
      </c>
    </row>
    <row r="46" ht="15.75" customHeight="1">
      <c r="A46" s="6" t="str">
        <f>'Chart of Accounts'!H47</f>
        <v>1052</v>
      </c>
      <c r="B46" s="6" t="str">
        <f>'Chart of Accounts'!I47</f>
        <v>Allowance for doubtful debts</v>
      </c>
      <c r="C46" s="6" t="str">
        <f>'Chart of Accounts'!A47</f>
        <v>P&amp;L</v>
      </c>
      <c r="D46" s="6" t="str">
        <f>'Chart of Accounts'!B47</f>
        <v>Expenses</v>
      </c>
      <c r="E46" s="50">
        <f>SUMIFS('Journal Entries'!$H$3:$H$135,'Journal Entries'!$F$3:$F$135,A46,'Journal Entries'!$C$3:$C$135,"Opening Balance")</f>
        <v>0</v>
      </c>
      <c r="F46" s="50">
        <f>SUMIFS('Journal Entries'!$I$3:$I$135,'Journal Entries'!$F$3:$F$135,A46,'Journal Entries'!$C$3:$C$135,"Opening Balance")</f>
        <v>0</v>
      </c>
      <c r="G46" s="50">
        <f>SUMIFS('Journal Entries'!$H$3:$H$135,'Journal Entries'!$F$3:$F$135,A46)-E46</f>
        <v>0</v>
      </c>
      <c r="H46" s="50">
        <f>SUMIFS('Journal Entries'!$I$3:$I$135,'Journal Entries'!$F$3:$F$135,A46)-F46</f>
        <v>0</v>
      </c>
      <c r="I46" s="50">
        <f t="shared" si="1"/>
        <v>0</v>
      </c>
      <c r="J46" s="50">
        <f t="shared" si="2"/>
        <v>0</v>
      </c>
    </row>
    <row r="47" ht="15.75" customHeight="1">
      <c r="A47" s="6" t="str">
        <f>'Chart of Accounts'!H48</f>
        <v>1053</v>
      </c>
      <c r="B47" s="6" t="str">
        <f>'Chart of Accounts'!I48</f>
        <v>Allowance for advance for laptops</v>
      </c>
      <c r="C47" s="6" t="str">
        <f>'Chart of Accounts'!A48</f>
        <v>P&amp;L</v>
      </c>
      <c r="D47" s="6" t="str">
        <f>'Chart of Accounts'!B48</f>
        <v>Expenses</v>
      </c>
      <c r="E47" s="50">
        <f>SUMIFS('Journal Entries'!$H$3:$H$135,'Journal Entries'!$F$3:$F$135,A47,'Journal Entries'!$C$3:$C$135,"Opening Balance")</f>
        <v>0</v>
      </c>
      <c r="F47" s="50">
        <f>SUMIFS('Journal Entries'!$I$3:$I$135,'Journal Entries'!$F$3:$F$135,A47,'Journal Entries'!$C$3:$C$135,"Opening Balance")</f>
        <v>0</v>
      </c>
      <c r="G47" s="50">
        <f>SUMIFS('Journal Entries'!$H$3:$H$135,'Journal Entries'!$F$3:$F$135,A47)-E47</f>
        <v>0</v>
      </c>
      <c r="H47" s="50">
        <f>SUMIFS('Journal Entries'!$I$3:$I$135,'Journal Entries'!$F$3:$F$135,A47)-F47</f>
        <v>0</v>
      </c>
      <c r="I47" s="50">
        <f t="shared" si="1"/>
        <v>0</v>
      </c>
      <c r="J47" s="50">
        <f t="shared" si="2"/>
        <v>0</v>
      </c>
    </row>
    <row r="48" ht="15.75" customHeight="1">
      <c r="A48" s="6" t="str">
        <f>'Chart of Accounts'!H49</f>
        <v>1054</v>
      </c>
      <c r="B48" s="6" t="str">
        <f>'Chart of Accounts'!I49</f>
        <v>Trucker's Commission</v>
      </c>
      <c r="C48" s="6" t="str">
        <f>'Chart of Accounts'!A49</f>
        <v>P&amp;L</v>
      </c>
      <c r="D48" s="6" t="str">
        <f>'Chart of Accounts'!B49</f>
        <v>Revenue</v>
      </c>
      <c r="E48" s="50">
        <f>SUMIFS('Journal Entries'!$H$3:$H$135,'Journal Entries'!$F$3:$F$135,A48,'Journal Entries'!$C$3:$C$135,"Opening Balance")</f>
        <v>0</v>
      </c>
      <c r="F48" s="50">
        <f>SUMIFS('Journal Entries'!$I$3:$I$135,'Journal Entries'!$F$3:$F$135,A48,'Journal Entries'!$C$3:$C$135,"Opening Balance")</f>
        <v>0</v>
      </c>
      <c r="G48" s="50">
        <f>SUMIFS('Journal Entries'!$H$3:$H$135,'Journal Entries'!$F$3:$F$135,A48)-E48</f>
        <v>1247500</v>
      </c>
      <c r="H48" s="50">
        <f>SUMIFS('Journal Entries'!$I$3:$I$135,'Journal Entries'!$F$3:$F$135,A48)-F48</f>
        <v>12000</v>
      </c>
      <c r="I48" s="50">
        <f t="shared" si="1"/>
        <v>1235500</v>
      </c>
      <c r="J48" s="50">
        <f t="shared" si="2"/>
        <v>0</v>
      </c>
    </row>
    <row r="49" ht="15.75" customHeight="1">
      <c r="A49" s="6" t="str">
        <f>'Chart of Accounts'!H50</f>
        <v>1055</v>
      </c>
      <c r="B49" s="6" t="str">
        <f>'Chart of Accounts'!I50</f>
        <v>Trucker's Cost - Fuel</v>
      </c>
      <c r="C49" s="6" t="str">
        <f>'Chart of Accounts'!A50</f>
        <v>P&amp;L</v>
      </c>
      <c r="D49" s="6" t="str">
        <f>'Chart of Accounts'!B50</f>
        <v>Revenue</v>
      </c>
      <c r="E49" s="50">
        <f>SUMIFS('Journal Entries'!$H$3:$H$135,'Journal Entries'!$F$3:$F$135,A49,'Journal Entries'!$C$3:$C$135,"Opening Balance")</f>
        <v>0</v>
      </c>
      <c r="F49" s="50">
        <f>SUMIFS('Journal Entries'!$I$3:$I$135,'Journal Entries'!$F$3:$F$135,A49,'Journal Entries'!$C$3:$C$135,"Opening Balance")</f>
        <v>0</v>
      </c>
      <c r="G49" s="50">
        <f>SUMIFS('Journal Entries'!$H$3:$H$135,'Journal Entries'!$F$3:$F$135,A49)-E49</f>
        <v>404650</v>
      </c>
      <c r="H49" s="50">
        <f>SUMIFS('Journal Entries'!$I$3:$I$135,'Journal Entries'!$F$3:$F$135,A49)-F49</f>
        <v>0</v>
      </c>
      <c r="I49" s="50">
        <f t="shared" si="1"/>
        <v>404650</v>
      </c>
      <c r="J49" s="50">
        <f t="shared" si="2"/>
        <v>0</v>
      </c>
    </row>
    <row r="50" ht="15.75" customHeight="1">
      <c r="A50" s="6" t="str">
        <f>'Chart of Accounts'!H51</f>
        <v>1056</v>
      </c>
      <c r="B50" s="6" t="str">
        <f>'Chart of Accounts'!I51</f>
        <v>SALARIES &amp; WAGES</v>
      </c>
      <c r="C50" s="6" t="str">
        <f>'Chart of Accounts'!A51</f>
        <v>P&amp;L</v>
      </c>
      <c r="D50" s="6" t="str">
        <f>'Chart of Accounts'!B51</f>
        <v>Expenses</v>
      </c>
      <c r="E50" s="50">
        <f>SUMIFS('Journal Entries'!$H$3:$H$135,'Journal Entries'!$F$3:$F$135,A50,'Journal Entries'!$C$3:$C$135,"Opening Balance")</f>
        <v>0</v>
      </c>
      <c r="F50" s="50">
        <f>SUMIFS('Journal Entries'!$I$3:$I$135,'Journal Entries'!$F$3:$F$135,A50,'Journal Entries'!$C$3:$C$135,"Opening Balance")</f>
        <v>0</v>
      </c>
      <c r="G50" s="50">
        <f>SUMIFS('Journal Entries'!$H$3:$H$135,'Journal Entries'!$F$3:$F$135,A50)-E50</f>
        <v>386500</v>
      </c>
      <c r="H50" s="50">
        <f>SUMIFS('Journal Entries'!$I$3:$I$135,'Journal Entries'!$F$3:$F$135,A50)-F50</f>
        <v>0</v>
      </c>
      <c r="I50" s="50">
        <f t="shared" si="1"/>
        <v>386500</v>
      </c>
      <c r="J50" s="50">
        <f t="shared" si="2"/>
        <v>0</v>
      </c>
    </row>
    <row r="51" ht="15.75" customHeight="1">
      <c r="A51" s="6" t="str">
        <f>'Chart of Accounts'!H52</f>
        <v>1057</v>
      </c>
      <c r="B51" s="6" t="str">
        <f>'Chart of Accounts'!I52</f>
        <v>Bank Charges</v>
      </c>
      <c r="C51" s="6" t="str">
        <f>'Chart of Accounts'!A52</f>
        <v>P&amp;L</v>
      </c>
      <c r="D51" s="6" t="str">
        <f>'Chart of Accounts'!B52</f>
        <v>Expenses</v>
      </c>
      <c r="E51" s="50">
        <f>SUMIFS('Journal Entries'!$H$3:$H$135,'Journal Entries'!$F$3:$F$135,A51,'Journal Entries'!$C$3:$C$135,"Opening Balance")</f>
        <v>0</v>
      </c>
      <c r="F51" s="50">
        <f>SUMIFS('Journal Entries'!$I$3:$I$135,'Journal Entries'!$F$3:$F$135,A51,'Journal Entries'!$C$3:$C$135,"Opening Balance")</f>
        <v>0</v>
      </c>
      <c r="G51" s="50">
        <f>SUMIFS('Journal Entries'!$H$3:$H$135,'Journal Entries'!$F$3:$F$135,A51)-E51</f>
        <v>10645</v>
      </c>
      <c r="H51" s="50">
        <f>SUMIFS('Journal Entries'!$I$3:$I$135,'Journal Entries'!$F$3:$F$135,A51)-F51</f>
        <v>0</v>
      </c>
      <c r="I51" s="50">
        <f t="shared" si="1"/>
        <v>10645</v>
      </c>
      <c r="J51" s="50">
        <f t="shared" si="2"/>
        <v>0</v>
      </c>
    </row>
    <row r="52" ht="15.75" customHeight="1">
      <c r="A52" s="6" t="str">
        <f>'Chart of Accounts'!H53</f>
        <v>1058</v>
      </c>
      <c r="B52" s="6" t="str">
        <f>'Chart of Accounts'!I53</f>
        <v>Rent and utilities</v>
      </c>
      <c r="C52" s="6" t="str">
        <f>'Chart of Accounts'!A53</f>
        <v>P&amp;L</v>
      </c>
      <c r="D52" s="6" t="str">
        <f>'Chart of Accounts'!B53</f>
        <v>Expenses</v>
      </c>
      <c r="E52" s="50">
        <f>SUMIFS('Journal Entries'!$H$3:$H$135,'Journal Entries'!$F$3:$F$135,A52,'Journal Entries'!$C$3:$C$135,"Opening Balance")</f>
        <v>0</v>
      </c>
      <c r="F52" s="50">
        <f>SUMIFS('Journal Entries'!$I$3:$I$135,'Journal Entries'!$F$3:$F$135,A52,'Journal Entries'!$C$3:$C$135,"Opening Balance")</f>
        <v>0</v>
      </c>
      <c r="G52" s="50">
        <f>SUMIFS('Journal Entries'!$H$3:$H$135,'Journal Entries'!$F$3:$F$135,A52)-E52</f>
        <v>461550</v>
      </c>
      <c r="H52" s="50">
        <f>SUMIFS('Journal Entries'!$I$3:$I$135,'Journal Entries'!$F$3:$F$135,A52)-F52</f>
        <v>0</v>
      </c>
      <c r="I52" s="50">
        <f t="shared" si="1"/>
        <v>461550</v>
      </c>
      <c r="J52" s="50">
        <f t="shared" si="2"/>
        <v>0</v>
      </c>
    </row>
    <row r="53" ht="15.75" customHeight="1">
      <c r="A53" s="6" t="str">
        <f>'Chart of Accounts'!H54</f>
        <v>1059</v>
      </c>
      <c r="B53" s="6" t="str">
        <f>'Chart of Accounts'!I54</f>
        <v>Travel and entertainment</v>
      </c>
      <c r="C53" s="6" t="str">
        <f>'Chart of Accounts'!A54</f>
        <v>P&amp;L</v>
      </c>
      <c r="D53" s="6" t="str">
        <f>'Chart of Accounts'!B54</f>
        <v>Expenses</v>
      </c>
      <c r="E53" s="50">
        <f>SUMIFS('Journal Entries'!$H$3:$H$135,'Journal Entries'!$F$3:$F$135,A53,'Journal Entries'!$C$3:$C$135,"Opening Balance")</f>
        <v>0</v>
      </c>
      <c r="F53" s="50">
        <f>SUMIFS('Journal Entries'!$I$3:$I$135,'Journal Entries'!$F$3:$F$135,A53,'Journal Entries'!$C$3:$C$135,"Opening Balance")</f>
        <v>0</v>
      </c>
      <c r="G53" s="50">
        <f>SUMIFS('Journal Entries'!$H$3:$H$135,'Journal Entries'!$F$3:$F$135,A53)-E53</f>
        <v>0</v>
      </c>
      <c r="H53" s="50">
        <f>SUMIFS('Journal Entries'!$I$3:$I$135,'Journal Entries'!$F$3:$F$135,A53)-F53</f>
        <v>0</v>
      </c>
      <c r="I53" s="50">
        <f t="shared" si="1"/>
        <v>0</v>
      </c>
      <c r="J53" s="50">
        <f t="shared" si="2"/>
        <v>0</v>
      </c>
    </row>
    <row r="54" ht="15.75" customHeight="1">
      <c r="A54" s="6" t="str">
        <f>'Chart of Accounts'!H55</f>
        <v>1060</v>
      </c>
      <c r="B54" s="6" t="str">
        <f>'Chart of Accounts'!I55</f>
        <v>LEGAL &amp; PROFESSIONAL FEE</v>
      </c>
      <c r="C54" s="6" t="str">
        <f>'Chart of Accounts'!A55</f>
        <v>P&amp;L</v>
      </c>
      <c r="D54" s="6" t="str">
        <f>'Chart of Accounts'!B55</f>
        <v>Expenses</v>
      </c>
      <c r="E54" s="50">
        <f>SUMIFS('Journal Entries'!$H$3:$H$135,'Journal Entries'!$F$3:$F$135,A54,'Journal Entries'!$C$3:$C$135,"Opening Balance")</f>
        <v>0</v>
      </c>
      <c r="F54" s="50">
        <f>SUMIFS('Journal Entries'!$I$3:$I$135,'Journal Entries'!$F$3:$F$135,A54,'Journal Entries'!$C$3:$C$135,"Opening Balance")</f>
        <v>0</v>
      </c>
      <c r="G54" s="50">
        <f>SUMIFS('Journal Entries'!$H$3:$H$135,'Journal Entries'!$F$3:$F$135,A54)-E54</f>
        <v>125000</v>
      </c>
      <c r="H54" s="50">
        <f>SUMIFS('Journal Entries'!$I$3:$I$135,'Journal Entries'!$F$3:$F$135,A54)-F54</f>
        <v>0</v>
      </c>
      <c r="I54" s="50">
        <f t="shared" si="1"/>
        <v>125000</v>
      </c>
      <c r="J54" s="50">
        <f t="shared" si="2"/>
        <v>0</v>
      </c>
    </row>
    <row r="55" ht="15.75" customHeight="1">
      <c r="A55" s="6" t="str">
        <f>'Chart of Accounts'!H56</f>
        <v>1061</v>
      </c>
      <c r="B55" s="6" t="str">
        <f>'Chart of Accounts'!I56</f>
        <v>Offline marketing and channel</v>
      </c>
      <c r="C55" s="6" t="str">
        <f>'Chart of Accounts'!A56</f>
        <v>P&amp;L</v>
      </c>
      <c r="D55" s="6" t="str">
        <f>'Chart of Accounts'!B56</f>
        <v>Expenses</v>
      </c>
      <c r="E55" s="50">
        <f>SUMIFS('Journal Entries'!$H$3:$H$135,'Journal Entries'!$F$3:$F$135,A55,'Journal Entries'!$C$3:$C$135,"Opening Balance")</f>
        <v>0</v>
      </c>
      <c r="F55" s="50">
        <f>SUMIFS('Journal Entries'!$I$3:$I$135,'Journal Entries'!$F$3:$F$135,A55,'Journal Entries'!$C$3:$C$135,"Opening Balance")</f>
        <v>0</v>
      </c>
      <c r="G55" s="50">
        <f>SUMIFS('Journal Entries'!$H$3:$H$135,'Journal Entries'!$F$3:$F$135,A55)-E55</f>
        <v>0</v>
      </c>
      <c r="H55" s="50">
        <f>SUMIFS('Journal Entries'!$I$3:$I$135,'Journal Entries'!$F$3:$F$135,A55)-F55</f>
        <v>0</v>
      </c>
      <c r="I55" s="50">
        <f t="shared" si="1"/>
        <v>0</v>
      </c>
      <c r="J55" s="50">
        <f t="shared" si="2"/>
        <v>0</v>
      </c>
    </row>
    <row r="56" ht="15.75" customHeight="1">
      <c r="A56" s="6" t="str">
        <f>'Chart of Accounts'!H57</f>
        <v>1062</v>
      </c>
      <c r="B56" s="6" t="str">
        <f>'Chart of Accounts'!I57</f>
        <v>Call center</v>
      </c>
      <c r="C56" s="6" t="str">
        <f>'Chart of Accounts'!A57</f>
        <v>P&amp;L</v>
      </c>
      <c r="D56" s="6" t="str">
        <f>'Chart of Accounts'!B57</f>
        <v>Expenses</v>
      </c>
      <c r="E56" s="50">
        <f>SUMIFS('Journal Entries'!$H$3:$H$135,'Journal Entries'!$F$3:$F$135,A56,'Journal Entries'!$C$3:$C$135,"Opening Balance")</f>
        <v>0</v>
      </c>
      <c r="F56" s="50">
        <f>SUMIFS('Journal Entries'!$I$3:$I$135,'Journal Entries'!$F$3:$F$135,A56,'Journal Entries'!$C$3:$C$135,"Opening Balance")</f>
        <v>0</v>
      </c>
      <c r="G56" s="50">
        <f>SUMIFS('Journal Entries'!$H$3:$H$135,'Journal Entries'!$F$3:$F$135,A56)-E56</f>
        <v>0</v>
      </c>
      <c r="H56" s="50">
        <f>SUMIFS('Journal Entries'!$I$3:$I$135,'Journal Entries'!$F$3:$F$135,A56)-F56</f>
        <v>0</v>
      </c>
      <c r="I56" s="50">
        <f t="shared" si="1"/>
        <v>0</v>
      </c>
      <c r="J56" s="50">
        <f t="shared" si="2"/>
        <v>0</v>
      </c>
    </row>
    <row r="57" ht="15.75" customHeight="1">
      <c r="A57" s="6" t="str">
        <f>'Chart of Accounts'!H58</f>
        <v>1063</v>
      </c>
      <c r="B57" s="6" t="str">
        <f>'Chart of Accounts'!I58</f>
        <v>Auditors remuneration</v>
      </c>
      <c r="C57" s="6" t="str">
        <f>'Chart of Accounts'!A58</f>
        <v>P&amp;L</v>
      </c>
      <c r="D57" s="6" t="str">
        <f>'Chart of Accounts'!B58</f>
        <v>Expenses</v>
      </c>
      <c r="E57" s="50">
        <f>SUMIFS('Journal Entries'!$H$3:$H$135,'Journal Entries'!$F$3:$F$135,A57,'Journal Entries'!$C$3:$C$135,"Opening Balance")</f>
        <v>0</v>
      </c>
      <c r="F57" s="50">
        <f>SUMIFS('Journal Entries'!$I$3:$I$135,'Journal Entries'!$F$3:$F$135,A57,'Journal Entries'!$C$3:$C$135,"Opening Balance")</f>
        <v>0</v>
      </c>
      <c r="G57" s="50">
        <f>SUMIFS('Journal Entries'!$H$3:$H$135,'Journal Entries'!$F$3:$F$135,A57)-E57</f>
        <v>0</v>
      </c>
      <c r="H57" s="50">
        <f>SUMIFS('Journal Entries'!$I$3:$I$135,'Journal Entries'!$F$3:$F$135,A57)-F57</f>
        <v>0</v>
      </c>
      <c r="I57" s="50">
        <f t="shared" si="1"/>
        <v>0</v>
      </c>
      <c r="J57" s="50">
        <f t="shared" si="2"/>
        <v>0</v>
      </c>
    </row>
    <row r="58" ht="15.75" customHeight="1">
      <c r="A58" s="6" t="str">
        <f>'Chart of Accounts'!H59</f>
        <v>1064</v>
      </c>
      <c r="B58" s="6" t="str">
        <f>'Chart of Accounts'!I59</f>
        <v>Depreciation</v>
      </c>
      <c r="C58" s="6" t="str">
        <f>'Chart of Accounts'!A59</f>
        <v>P&amp;L</v>
      </c>
      <c r="D58" s="6" t="str">
        <f>'Chart of Accounts'!B59</f>
        <v>Expenses</v>
      </c>
      <c r="E58" s="50">
        <f>SUMIFS('Journal Entries'!$H$3:$H$135,'Journal Entries'!$F$3:$F$135,A58,'Journal Entries'!$C$3:$C$135,"Opening Balance")</f>
        <v>0</v>
      </c>
      <c r="F58" s="50">
        <f>SUMIFS('Journal Entries'!$I$3:$I$135,'Journal Entries'!$F$3:$F$135,A58,'Journal Entries'!$C$3:$C$135,"Opening Balance")</f>
        <v>0</v>
      </c>
      <c r="G58" s="50">
        <f>SUMIFS('Journal Entries'!$H$3:$H$135,'Journal Entries'!$F$3:$F$135,A58)-E58</f>
        <v>120000</v>
      </c>
      <c r="H58" s="50">
        <f>SUMIFS('Journal Entries'!$I$3:$I$135,'Journal Entries'!$F$3:$F$135,A58)-F58</f>
        <v>0</v>
      </c>
      <c r="I58" s="50">
        <f t="shared" si="1"/>
        <v>120000</v>
      </c>
      <c r="J58" s="50">
        <f t="shared" si="2"/>
        <v>0</v>
      </c>
    </row>
    <row r="59" ht="15.75" customHeight="1">
      <c r="A59" s="6" t="str">
        <f>'Chart of Accounts'!H60</f>
        <v>1065</v>
      </c>
      <c r="B59" s="6" t="str">
        <f>'Chart of Accounts'!I60</f>
        <v>Other Income</v>
      </c>
      <c r="C59" s="6" t="str">
        <f>'Chart of Accounts'!A60</f>
        <v>P&amp;L</v>
      </c>
      <c r="D59" s="6" t="str">
        <f>'Chart of Accounts'!B60</f>
        <v>Income</v>
      </c>
      <c r="E59" s="50">
        <f>SUMIFS('Journal Entries'!$H$3:$H$135,'Journal Entries'!$F$3:$F$135,A59,'Journal Entries'!$C$3:$C$135,"Opening Balance")</f>
        <v>0</v>
      </c>
      <c r="F59" s="50">
        <f>SUMIFS('Journal Entries'!$I$3:$I$135,'Journal Entries'!$F$3:$F$135,A59,'Journal Entries'!$C$3:$C$135,"Opening Balance")</f>
        <v>0</v>
      </c>
      <c r="G59" s="50">
        <f>SUMIFS('Journal Entries'!$H$3:$H$135,'Journal Entries'!$F$3:$F$135,A59)-E59</f>
        <v>0</v>
      </c>
      <c r="H59" s="50">
        <f>SUMIFS('Journal Entries'!$I$3:$I$135,'Journal Entries'!$F$3:$F$135,A59)-F59</f>
        <v>0</v>
      </c>
      <c r="I59" s="50">
        <f t="shared" si="1"/>
        <v>0</v>
      </c>
      <c r="J59" s="50">
        <f t="shared" si="2"/>
        <v>0</v>
      </c>
    </row>
    <row r="60" ht="15.75" customHeight="1">
      <c r="A60" s="6" t="str">
        <f>'Chart of Accounts'!H61</f>
        <v>1066</v>
      </c>
      <c r="B60" s="6" t="str">
        <f>'Chart of Accounts'!I61</f>
        <v>Profit on PLS</v>
      </c>
      <c r="C60" s="6" t="str">
        <f>'Chart of Accounts'!A61</f>
        <v>P&amp;L</v>
      </c>
      <c r="D60" s="6" t="str">
        <f>'Chart of Accounts'!B61</f>
        <v>Income</v>
      </c>
      <c r="E60" s="50">
        <f>SUMIFS('Journal Entries'!$H$3:$H$135,'Journal Entries'!$F$3:$F$135,A60,'Journal Entries'!$C$3:$C$135,"Opening Balance")</f>
        <v>0</v>
      </c>
      <c r="F60" s="50">
        <f>SUMIFS('Journal Entries'!$I$3:$I$135,'Journal Entries'!$F$3:$F$135,A60,'Journal Entries'!$C$3:$C$135,"Opening Balance")</f>
        <v>0</v>
      </c>
      <c r="G60" s="50">
        <f>SUMIFS('Journal Entries'!$H$3:$H$135,'Journal Entries'!$F$3:$F$135,A60)-E60</f>
        <v>0</v>
      </c>
      <c r="H60" s="50">
        <f>SUMIFS('Journal Entries'!$I$3:$I$135,'Journal Entries'!$F$3:$F$135,A60)-F60</f>
        <v>18450</v>
      </c>
      <c r="I60" s="50">
        <f t="shared" si="1"/>
        <v>0</v>
      </c>
      <c r="J60" s="50">
        <f t="shared" si="2"/>
        <v>18450</v>
      </c>
    </row>
    <row r="61" ht="15.75" customHeight="1">
      <c r="A61" s="6" t="str">
        <f>'Chart of Accounts'!H62</f>
        <v>1067</v>
      </c>
      <c r="B61" s="6" t="str">
        <f>'Chart of Accounts'!I62</f>
        <v>Amortization</v>
      </c>
      <c r="C61" s="6" t="str">
        <f>'Chart of Accounts'!A62</f>
        <v>P&amp;L</v>
      </c>
      <c r="D61" s="6" t="str">
        <f>'Chart of Accounts'!B62</f>
        <v>Expenses</v>
      </c>
      <c r="E61" s="50">
        <f>SUMIFS('Journal Entries'!$H$3:$H$135,'Journal Entries'!$F$3:$F$135,A61,'Journal Entries'!$C$3:$C$135,"Opening Balance")</f>
        <v>0</v>
      </c>
      <c r="F61" s="50">
        <f>SUMIFS('Journal Entries'!$I$3:$I$135,'Journal Entries'!$F$3:$F$135,A61,'Journal Entries'!$C$3:$C$135,"Opening Balance")</f>
        <v>0</v>
      </c>
      <c r="G61" s="50">
        <f>SUMIFS('Journal Entries'!$H$3:$H$135,'Journal Entries'!$F$3:$F$135,A61)-E61</f>
        <v>0</v>
      </c>
      <c r="H61" s="50">
        <f>SUMIFS('Journal Entries'!$I$3:$I$135,'Journal Entries'!$F$3:$F$135,A61)-F61</f>
        <v>0</v>
      </c>
      <c r="I61" s="50">
        <f t="shared" si="1"/>
        <v>0</v>
      </c>
      <c r="J61" s="50">
        <f t="shared" si="2"/>
        <v>0</v>
      </c>
    </row>
    <row r="62" ht="15.75" customHeight="1">
      <c r="A62" s="56" t="s">
        <v>729</v>
      </c>
      <c r="B62" s="57"/>
      <c r="C62" s="57"/>
      <c r="D62" s="57"/>
      <c r="E62" s="58">
        <f t="shared" ref="E62:J62" si="3">SUM(E3:E61)</f>
        <v>7730000</v>
      </c>
      <c r="F62" s="58">
        <f t="shared" si="3"/>
        <v>7730000</v>
      </c>
      <c r="G62" s="58">
        <f t="shared" si="3"/>
        <v>10981763</v>
      </c>
      <c r="H62" s="58">
        <f t="shared" si="3"/>
        <v>11443462</v>
      </c>
      <c r="I62" s="58">
        <f t="shared" si="3"/>
        <v>8351101</v>
      </c>
      <c r="J62" s="58">
        <f t="shared" si="3"/>
        <v>8812800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62:D6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42.0"/>
    <col customWidth="1" min="3" max="3" width="20.0"/>
    <col customWidth="1" min="4" max="4" width="22.0"/>
    <col customWidth="1" min="5" max="6" width="8.63"/>
  </cols>
  <sheetData>
    <row r="1" ht="30.0" customHeight="1">
      <c r="A1" s="1" t="s">
        <v>661</v>
      </c>
    </row>
    <row r="2">
      <c r="A2" s="2"/>
      <c r="B2" s="2"/>
      <c r="C2" s="2"/>
      <c r="D2" s="2"/>
    </row>
    <row r="3">
      <c r="A3" s="7" t="s">
        <v>290</v>
      </c>
      <c r="B3" s="8" t="s">
        <v>662</v>
      </c>
      <c r="C3" s="8" t="s">
        <v>663</v>
      </c>
      <c r="D3" s="9" t="s">
        <v>664</v>
      </c>
    </row>
    <row r="4">
      <c r="A4" s="2">
        <v>1011.0</v>
      </c>
      <c r="B4" s="2" t="s">
        <v>158</v>
      </c>
      <c r="C4" s="2" t="s">
        <v>149</v>
      </c>
      <c r="D4" s="50">
        <f>SUMIFS('Trial Balance'!$I$3:$I$61,'Trial Balance'!$A$3:$A$61,A4)-SUMIFS('Trial Balance'!$J$3:$J$61,'Trial Balance'!$A$3:$A$61,A4)</f>
        <v>0</v>
      </c>
    </row>
    <row r="5">
      <c r="A5" s="2">
        <v>1012.0</v>
      </c>
      <c r="B5" s="2" t="s">
        <v>187</v>
      </c>
      <c r="C5" s="2" t="s">
        <v>149</v>
      </c>
      <c r="D5" s="50">
        <f>SUMIFS('Trial Balance'!$I$3:$I$61,'Trial Balance'!$A$3:$A$61,A5)-SUMIFS('Trial Balance'!$J$3:$J$61,'Trial Balance'!$A$3:$A$61,A5)</f>
        <v>0</v>
      </c>
    </row>
    <row r="6">
      <c r="A6" s="2">
        <v>1013.0</v>
      </c>
      <c r="B6" s="2" t="s">
        <v>213</v>
      </c>
      <c r="C6" s="2" t="s">
        <v>149</v>
      </c>
      <c r="D6" s="50">
        <f>SUMIFS('Trial Balance'!$I$3:$I$61,'Trial Balance'!$A$3:$A$61,A6)-SUMIFS('Trial Balance'!$J$3:$J$61,'Trial Balance'!$A$3:$A$61,A6)</f>
        <v>0</v>
      </c>
    </row>
    <row r="7">
      <c r="A7" s="2">
        <v>1014.0</v>
      </c>
      <c r="B7" s="2" t="s">
        <v>224</v>
      </c>
      <c r="C7" s="2" t="s">
        <v>149</v>
      </c>
      <c r="D7" s="50">
        <f>SUMIFS('Trial Balance'!$I$3:$I$61,'Trial Balance'!$A$3:$A$61,A7)-SUMIFS('Trial Balance'!$J$3:$J$61,'Trial Balance'!$A$3:$A$61,A7)</f>
        <v>0</v>
      </c>
    </row>
    <row r="8">
      <c r="A8" s="2">
        <v>1015.0</v>
      </c>
      <c r="B8" s="2" t="s">
        <v>227</v>
      </c>
      <c r="C8" s="2" t="s">
        <v>149</v>
      </c>
      <c r="D8" s="50">
        <f>SUMIFS('Trial Balance'!$I$3:$I$61,'Trial Balance'!$A$3:$A$61,A8)-SUMIFS('Trial Balance'!$J$3:$J$61,'Trial Balance'!$A$3:$A$61,A8)</f>
        <v>0</v>
      </c>
    </row>
    <row r="9">
      <c r="A9" s="2">
        <v>1016.0</v>
      </c>
      <c r="B9" s="2" t="s">
        <v>230</v>
      </c>
      <c r="C9" s="2" t="s">
        <v>149</v>
      </c>
      <c r="D9" s="50">
        <f>SUMIFS('Trial Balance'!$I$3:$I$61,'Trial Balance'!$A$3:$A$61,A9)-SUMIFS('Trial Balance'!$J$3:$J$61,'Trial Balance'!$A$3:$A$61,A9)</f>
        <v>0</v>
      </c>
    </row>
    <row r="10">
      <c r="A10" s="2">
        <v>1017.0</v>
      </c>
      <c r="B10" s="2" t="s">
        <v>246</v>
      </c>
      <c r="C10" s="2" t="s">
        <v>149</v>
      </c>
      <c r="D10" s="50">
        <f>SUMIFS('Trial Balance'!$I$3:$I$61,'Trial Balance'!$A$3:$A$61,A10)-SUMIFS('Trial Balance'!$J$3:$J$61,'Trial Balance'!$A$3:$A$61,A10)</f>
        <v>-120000</v>
      </c>
    </row>
    <row r="11">
      <c r="A11" s="2">
        <v>1018.0</v>
      </c>
      <c r="B11" s="2" t="s">
        <v>261</v>
      </c>
      <c r="C11" s="2" t="s">
        <v>149</v>
      </c>
      <c r="D11" s="50">
        <f>SUMIFS('Trial Balance'!$I$3:$I$61,'Trial Balance'!$A$3:$A$61,A11)-SUMIFS('Trial Balance'!$J$3:$J$61,'Trial Balance'!$A$3:$A$61,A11)</f>
        <v>981800</v>
      </c>
    </row>
    <row r="12">
      <c r="A12" s="2">
        <v>1019.0</v>
      </c>
      <c r="B12" s="2" t="s">
        <v>274</v>
      </c>
      <c r="C12" s="2" t="s">
        <v>149</v>
      </c>
      <c r="D12" s="50">
        <f>SUMIFS('Trial Balance'!$I$3:$I$61,'Trial Balance'!$A$3:$A$61,A12)-SUMIFS('Trial Balance'!$J$3:$J$61,'Trial Balance'!$A$3:$A$61,A12)</f>
        <v>0</v>
      </c>
    </row>
    <row r="13">
      <c r="A13" s="2">
        <v>1020.0</v>
      </c>
      <c r="B13" s="2" t="s">
        <v>291</v>
      </c>
      <c r="C13" s="2" t="s">
        <v>149</v>
      </c>
      <c r="D13" s="50">
        <f>SUMIFS('Trial Balance'!$I$3:$I$61,'Trial Balance'!$A$3:$A$61,A13)-SUMIFS('Trial Balance'!$J$3:$J$61,'Trial Balance'!$A$3:$A$61,A13)</f>
        <v>0</v>
      </c>
    </row>
    <row r="14">
      <c r="A14" s="2">
        <v>1021.0</v>
      </c>
      <c r="B14" s="2" t="s">
        <v>308</v>
      </c>
      <c r="C14" s="2" t="s">
        <v>149</v>
      </c>
      <c r="D14" s="50">
        <f>SUMIFS('Trial Balance'!$I$3:$I$61,'Trial Balance'!$A$3:$A$61,A14)-SUMIFS('Trial Balance'!$J$3:$J$61,'Trial Balance'!$A$3:$A$61,A14)</f>
        <v>200000</v>
      </c>
    </row>
    <row r="15">
      <c r="A15" s="2">
        <v>1022.0</v>
      </c>
      <c r="B15" s="2" t="s">
        <v>321</v>
      </c>
      <c r="C15" s="2" t="s">
        <v>149</v>
      </c>
      <c r="D15" s="50">
        <f>SUMIFS('Trial Balance'!$I$3:$I$61,'Trial Balance'!$A$3:$A$61,A15)-SUMIFS('Trial Balance'!$J$3:$J$61,'Trial Balance'!$A$3:$A$61,A15)</f>
        <v>0</v>
      </c>
    </row>
    <row r="16">
      <c r="A16" s="2">
        <v>1023.0</v>
      </c>
      <c r="B16" s="2" t="s">
        <v>328</v>
      </c>
      <c r="C16" s="2" t="s">
        <v>149</v>
      </c>
      <c r="D16" s="50">
        <f>SUMIFS('Trial Balance'!$I$3:$I$61,'Trial Balance'!$A$3:$A$61,A16)-SUMIFS('Trial Balance'!$J$3:$J$61,'Trial Balance'!$A$3:$A$61,A16)</f>
        <v>0</v>
      </c>
    </row>
    <row r="17">
      <c r="A17" s="2">
        <v>1024.0</v>
      </c>
      <c r="B17" s="2" t="s">
        <v>337</v>
      </c>
      <c r="C17" s="2" t="s">
        <v>149</v>
      </c>
      <c r="D17" s="50">
        <f>SUMIFS('Trial Balance'!$I$3:$I$61,'Trial Balance'!$A$3:$A$61,A17)-SUMIFS('Trial Balance'!$J$3:$J$61,'Trial Balance'!$A$3:$A$61,A17)</f>
        <v>0</v>
      </c>
    </row>
    <row r="18">
      <c r="A18" s="2">
        <v>1025.0</v>
      </c>
      <c r="B18" s="2" t="s">
        <v>352</v>
      </c>
      <c r="C18" s="2" t="s">
        <v>149</v>
      </c>
      <c r="D18" s="50">
        <f>SUMIFS('Trial Balance'!$I$3:$I$61,'Trial Balance'!$A$3:$A$61,A18)-SUMIFS('Trial Balance'!$J$3:$J$61,'Trial Balance'!$A$3:$A$61,A18)</f>
        <v>57500</v>
      </c>
    </row>
    <row r="19">
      <c r="A19" s="2">
        <v>1026.0</v>
      </c>
      <c r="B19" s="2" t="s">
        <v>358</v>
      </c>
      <c r="C19" s="2" t="s">
        <v>149</v>
      </c>
      <c r="D19" s="50">
        <f>SUMIFS('Trial Balance'!$I$3:$I$61,'Trial Balance'!$A$3:$A$61,A19)-SUMIFS('Trial Balance'!$J$3:$J$61,'Trial Balance'!$A$3:$A$61,A19)</f>
        <v>165000</v>
      </c>
    </row>
    <row r="20">
      <c r="A20" s="2">
        <v>1027.0</v>
      </c>
      <c r="B20" s="2" t="s">
        <v>368</v>
      </c>
      <c r="C20" s="2" t="s">
        <v>364</v>
      </c>
      <c r="D20" s="50">
        <f>SUMIFS('Trial Balance'!$J$3:$J$61,'Trial Balance'!$A$3:$A$61,A20)-SUMIFS('Trial Balance'!$I$3:$I$61,'Trial Balance'!$A$3:$A$61,A20)</f>
        <v>0</v>
      </c>
    </row>
    <row r="21" ht="15.75" customHeight="1">
      <c r="A21" s="2">
        <v>1028.0</v>
      </c>
      <c r="B21" s="2" t="s">
        <v>377</v>
      </c>
      <c r="C21" s="2" t="s">
        <v>149</v>
      </c>
      <c r="D21" s="50">
        <f>SUMIFS('Trial Balance'!$I$3:$I$61,'Trial Balance'!$A$3:$A$61,A21)-SUMIFS('Trial Balance'!$J$3:$J$61,'Trial Balance'!$A$3:$A$61,A21)</f>
        <v>0</v>
      </c>
    </row>
    <row r="22" ht="15.75" customHeight="1">
      <c r="A22" s="2">
        <v>1029.0</v>
      </c>
      <c r="B22" s="2" t="s">
        <v>573</v>
      </c>
      <c r="C22" s="2" t="s">
        <v>149</v>
      </c>
      <c r="D22" s="50">
        <f>SUMIFS('Trial Balance'!$I$3:$I$61,'Trial Balance'!$A$3:$A$61,A22)-SUMIFS('Trial Balance'!$J$3:$J$61,'Trial Balance'!$A$3:$A$61,A22)</f>
        <v>3997926</v>
      </c>
    </row>
    <row r="23" ht="15.75" customHeight="1">
      <c r="A23" s="2">
        <v>1030.0</v>
      </c>
      <c r="B23" s="2" t="s">
        <v>381</v>
      </c>
      <c r="C23" s="2" t="s">
        <v>149</v>
      </c>
      <c r="D23" s="50">
        <f>SUMIFS('Trial Balance'!$I$3:$I$61,'Trial Balance'!$A$3:$A$61,A23)-SUMIFS('Trial Balance'!$J$3:$J$61,'Trial Balance'!$A$3:$A$61,A23)</f>
        <v>58912</v>
      </c>
    </row>
    <row r="24" ht="15.75" customHeight="1">
      <c r="A24" s="2">
        <v>1031.0</v>
      </c>
      <c r="B24" s="2" t="s">
        <v>392</v>
      </c>
      <c r="C24" s="2" t="s">
        <v>149</v>
      </c>
      <c r="D24" s="50">
        <f>SUMIFS('Trial Balance'!$I$3:$I$61,'Trial Balance'!$A$3:$A$61,A24)-SUMIFS('Trial Balance'!$J$3:$J$61,'Trial Balance'!$A$3:$A$61,A24)</f>
        <v>0</v>
      </c>
    </row>
    <row r="25" ht="15.75" customHeight="1">
      <c r="A25" s="2">
        <v>1032.0</v>
      </c>
      <c r="B25" s="2" t="s">
        <v>402</v>
      </c>
      <c r="C25" s="2" t="s">
        <v>364</v>
      </c>
      <c r="D25" s="50">
        <f>SUMIFS('Trial Balance'!$J$3:$J$61,'Trial Balance'!$A$3:$A$61,A25)-SUMIFS('Trial Balance'!$I$3:$I$61,'Trial Balance'!$A$3:$A$61,A25)</f>
        <v>0</v>
      </c>
    </row>
    <row r="26" ht="15.75" customHeight="1">
      <c r="A26" s="2">
        <v>1033.0</v>
      </c>
      <c r="B26" s="2" t="s">
        <v>410</v>
      </c>
      <c r="C26" s="2" t="s">
        <v>364</v>
      </c>
      <c r="D26" s="50">
        <f>SUMIFS('Trial Balance'!$J$3:$J$61,'Trial Balance'!$A$3:$A$61,A26)-SUMIFS('Trial Balance'!$I$3:$I$61,'Trial Balance'!$A$3:$A$61,A26)</f>
        <v>0</v>
      </c>
    </row>
    <row r="27" ht="15.75" customHeight="1">
      <c r="A27" s="2">
        <v>1034.0</v>
      </c>
      <c r="B27" s="2" t="s">
        <v>418</v>
      </c>
      <c r="C27" s="2" t="s">
        <v>364</v>
      </c>
      <c r="D27" s="50">
        <f>SUMIFS('Trial Balance'!$J$3:$J$61,'Trial Balance'!$A$3:$A$61,A27)-SUMIFS('Trial Balance'!$I$3:$I$61,'Trial Balance'!$A$3:$A$61,A27)</f>
        <v>355350</v>
      </c>
    </row>
    <row r="28" ht="15.75" customHeight="1">
      <c r="A28" s="2">
        <v>1035.0</v>
      </c>
      <c r="B28" s="2" t="s">
        <v>417</v>
      </c>
      <c r="C28" s="2" t="s">
        <v>364</v>
      </c>
      <c r="D28" s="50">
        <f>SUMIFS('Trial Balance'!$J$3:$J$61,'Trial Balance'!$A$3:$A$61,A28)-SUMIFS('Trial Balance'!$I$3:$I$61,'Trial Balance'!$A$3:$A$61,A28)</f>
        <v>400000</v>
      </c>
    </row>
    <row r="29" ht="15.75" customHeight="1">
      <c r="A29" s="2">
        <v>1036.0</v>
      </c>
      <c r="B29" s="2" t="s">
        <v>428</v>
      </c>
      <c r="C29" s="2" t="s">
        <v>364</v>
      </c>
      <c r="D29" s="50">
        <f>SUMIFS('Trial Balance'!$J$3:$J$61,'Trial Balance'!$A$3:$A$61,A29)-SUMIFS('Trial Balance'!$I$3:$I$61,'Trial Balance'!$A$3:$A$61,A29)</f>
        <v>-3350</v>
      </c>
    </row>
    <row r="30" ht="15.75" customHeight="1">
      <c r="A30" s="2">
        <v>1037.0</v>
      </c>
      <c r="B30" s="2" t="s">
        <v>435</v>
      </c>
      <c r="C30" s="2" t="s">
        <v>431</v>
      </c>
      <c r="D30" s="50">
        <f>SUMIFS('Trial Balance'!$J$3:$J$61,'Trial Balance'!$A$3:$A$61,A30)-SUMIFS('Trial Balance'!$I$3:$I$61,'Trial Balance'!$A$3:$A$61,A30)</f>
        <v>0</v>
      </c>
    </row>
    <row r="31" ht="15.75" customHeight="1">
      <c r="A31" s="2">
        <v>1038.0</v>
      </c>
      <c r="B31" s="2" t="s">
        <v>441</v>
      </c>
      <c r="C31" s="2" t="s">
        <v>431</v>
      </c>
      <c r="D31" s="50">
        <f>SUMIFS('Trial Balance'!$J$3:$J$61,'Trial Balance'!$A$3:$A$61,A31)-SUMIFS('Trial Balance'!$I$3:$I$61,'Trial Balance'!$A$3:$A$61,A31)</f>
        <v>6630000</v>
      </c>
    </row>
    <row r="32" ht="15.75" customHeight="1">
      <c r="A32" s="2">
        <v>1039.0</v>
      </c>
      <c r="B32" s="2" t="s">
        <v>443</v>
      </c>
      <c r="C32" s="2" t="s">
        <v>431</v>
      </c>
      <c r="D32" s="50">
        <f>SUMIFS('Trial Balance'!$J$3:$J$61,'Trial Balance'!$A$3:$A$61,A32)-SUMIFS('Trial Balance'!$I$3:$I$61,'Trial Balance'!$A$3:$A$61,A32)</f>
        <v>0</v>
      </c>
    </row>
    <row r="33" ht="15.75" customHeight="1">
      <c r="A33" s="2">
        <v>1040.0</v>
      </c>
      <c r="B33" s="2" t="s">
        <v>450</v>
      </c>
      <c r="C33" s="2" t="s">
        <v>431</v>
      </c>
      <c r="D33" s="50">
        <f>SUMIFS('Trial Balance'!$J$3:$J$61,'Trial Balance'!$A$3:$A$61,A33)-SUMIFS('Trial Balance'!$I$3:$I$61,'Trial Balance'!$A$3:$A$61,A33)</f>
        <v>0</v>
      </c>
    </row>
    <row r="34" ht="15.75" customHeight="1">
      <c r="A34" s="2">
        <v>1041.0</v>
      </c>
      <c r="B34" s="2" t="s">
        <v>457</v>
      </c>
      <c r="C34" s="2" t="s">
        <v>364</v>
      </c>
      <c r="D34" s="50">
        <f>SUMIFS('Trial Balance'!$J$3:$J$61,'Trial Balance'!$A$3:$A$61,A34)-SUMIFS('Trial Balance'!$I$3:$I$61,'Trial Balance'!$A$3:$A$61,A34)</f>
        <v>0</v>
      </c>
    </row>
    <row r="35" ht="15.75" customHeight="1">
      <c r="A35" s="2">
        <v>1042.0</v>
      </c>
      <c r="B35" s="2" t="s">
        <v>462</v>
      </c>
      <c r="C35" s="2" t="s">
        <v>364</v>
      </c>
      <c r="D35" s="50">
        <f>SUMIFS('Trial Balance'!$J$3:$J$61,'Trial Balance'!$A$3:$A$61,A35)-SUMIFS('Trial Balance'!$I$3:$I$61,'Trial Balance'!$A$3:$A$61,A35)</f>
        <v>0</v>
      </c>
    </row>
    <row r="36" ht="15.75" customHeight="1">
      <c r="A36" s="2">
        <v>1043.0</v>
      </c>
      <c r="B36" s="2" t="s">
        <v>468</v>
      </c>
      <c r="C36" s="2" t="s">
        <v>149</v>
      </c>
      <c r="D36" s="50">
        <f>SUMIFS('Trial Balance'!$I$3:$I$61,'Trial Balance'!$A$3:$A$61,A36)-SUMIFS('Trial Balance'!$J$3:$J$61,'Trial Balance'!$A$3:$A$61,A36)</f>
        <v>0</v>
      </c>
    </row>
    <row r="37" ht="15.75" customHeight="1">
      <c r="A37" s="2">
        <v>1044.0</v>
      </c>
      <c r="B37" s="2" t="s">
        <v>473</v>
      </c>
      <c r="C37" s="2" t="s">
        <v>149</v>
      </c>
      <c r="D37" s="50">
        <f>SUMIFS('Trial Balance'!$I$3:$I$61,'Trial Balance'!$A$3:$A$61,A37)-SUMIFS('Trial Balance'!$J$3:$J$61,'Trial Balance'!$A$3:$A$61,A37)</f>
        <v>0</v>
      </c>
    </row>
    <row r="38" ht="15.75" customHeight="1">
      <c r="A38" s="2">
        <v>1045.0</v>
      </c>
      <c r="B38" s="2" t="s">
        <v>478</v>
      </c>
      <c r="C38" s="2" t="s">
        <v>149</v>
      </c>
      <c r="D38" s="50">
        <f>SUMIFS('Trial Balance'!$I$3:$I$61,'Trial Balance'!$A$3:$A$61,A38)-SUMIFS('Trial Balance'!$J$3:$J$61,'Trial Balance'!$A$3:$A$61,A38)</f>
        <v>2768</v>
      </c>
    </row>
    <row r="39" ht="15.75" customHeight="1">
      <c r="A39" s="2">
        <v>1046.0</v>
      </c>
      <c r="B39" s="2" t="s">
        <v>483</v>
      </c>
      <c r="C39" s="2" t="s">
        <v>149</v>
      </c>
      <c r="D39" s="50">
        <f>SUMIFS('Trial Balance'!$I$3:$I$61,'Trial Balance'!$A$3:$A$61,A39)-SUMIFS('Trial Balance'!$J$3:$J$61,'Trial Balance'!$A$3:$A$61,A39)</f>
        <v>0</v>
      </c>
    </row>
    <row r="40" ht="15.75" customHeight="1">
      <c r="A40" s="2">
        <v>1047.0</v>
      </c>
      <c r="B40" s="2" t="s">
        <v>490</v>
      </c>
      <c r="C40" s="2" t="s">
        <v>364</v>
      </c>
      <c r="D40" s="50">
        <f>SUMIFS('Trial Balance'!$J$3:$J$61,'Trial Balance'!$A$3:$A$61,A40)-SUMIFS('Trial Balance'!$I$3:$I$61,'Trial Balance'!$A$3:$A$61,A40)</f>
        <v>140000</v>
      </c>
    </row>
    <row r="41" ht="15.75" customHeight="1">
      <c r="A41" s="2"/>
      <c r="B41" s="2"/>
      <c r="C41" s="2"/>
      <c r="D41" s="5"/>
    </row>
    <row r="42" ht="15.75" customHeight="1">
      <c r="A42" s="51" t="s">
        <v>665</v>
      </c>
      <c r="B42" s="52"/>
      <c r="C42" s="52"/>
      <c r="D42" s="53">
        <f>SUMIFS(D4:D40,C4:C40,"Assets")</f>
        <v>5343906</v>
      </c>
    </row>
    <row r="43" ht="15.75" customHeight="1">
      <c r="A43" s="4" t="s">
        <v>666</v>
      </c>
      <c r="D43" s="54">
        <f>SUMIFS(D4:D40,C4:C40,"Libailities")</f>
        <v>892000</v>
      </c>
    </row>
    <row r="44" ht="15.75" customHeight="1">
      <c r="A44" s="4" t="s">
        <v>667</v>
      </c>
      <c r="D44" s="54">
        <f>SUMIFS(D4:D40,C4:C40,"Equity")</f>
        <v>6630000</v>
      </c>
    </row>
    <row r="45" ht="15.75" customHeight="1">
      <c r="A45" s="4" t="s">
        <v>668</v>
      </c>
      <c r="D45" s="55">
        <f>'Profit and Loss'!D29</f>
        <v>-1716395</v>
      </c>
    </row>
    <row r="46" ht="15.75" customHeight="1">
      <c r="A46" s="56" t="s">
        <v>669</v>
      </c>
      <c r="B46" s="57"/>
      <c r="C46" s="57"/>
      <c r="D46" s="58">
        <f>D43+D44+D45</f>
        <v>5805605</v>
      </c>
    </row>
    <row r="47" ht="15.75" customHeight="1">
      <c r="A47" s="4" t="s">
        <v>670</v>
      </c>
      <c r="D47" s="54">
        <f>D42-D46</f>
        <v>-461699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42:C42"/>
    <mergeCell ref="A43:C43"/>
    <mergeCell ref="A44:C44"/>
    <mergeCell ref="A45:C45"/>
    <mergeCell ref="A46:C46"/>
    <mergeCell ref="A47:C4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42.0"/>
    <col customWidth="1" min="3" max="4" width="20.0"/>
    <col customWidth="1" min="5" max="6" width="8.63"/>
  </cols>
  <sheetData>
    <row r="1" ht="30.0" customHeight="1">
      <c r="A1" s="1" t="s">
        <v>671</v>
      </c>
    </row>
    <row r="2">
      <c r="A2" s="2"/>
      <c r="B2" s="2"/>
      <c r="C2" s="2"/>
      <c r="D2" s="2"/>
    </row>
    <row r="3">
      <c r="A3" s="7" t="s">
        <v>290</v>
      </c>
      <c r="B3" s="8" t="s">
        <v>662</v>
      </c>
      <c r="C3" s="8" t="s">
        <v>663</v>
      </c>
      <c r="D3" s="9" t="s">
        <v>664</v>
      </c>
    </row>
    <row r="4">
      <c r="A4" s="2">
        <v>1048.0</v>
      </c>
      <c r="B4" s="2" t="s">
        <v>497</v>
      </c>
      <c r="C4" s="2" t="s">
        <v>494</v>
      </c>
      <c r="D4" s="50">
        <f>SUMIFS('Trial Balance'!$I$3:$I$61,'Trial Balance'!$A$3:$A$61,A4)-SUMIFS('Trial Balance'!$J$3:$J$61,'Trial Balance'!$A$3:$A$61,A4)</f>
        <v>140000</v>
      </c>
    </row>
    <row r="5">
      <c r="A5" s="2">
        <v>1049.0</v>
      </c>
      <c r="B5" s="2" t="s">
        <v>505</v>
      </c>
      <c r="C5" s="2" t="s">
        <v>494</v>
      </c>
      <c r="D5" s="50">
        <f>SUMIFS('Trial Balance'!$I$3:$I$61,'Trial Balance'!$A$3:$A$61,A5)-SUMIFS('Trial Balance'!$J$3:$J$61,'Trial Balance'!$A$3:$A$61,A5)</f>
        <v>0</v>
      </c>
    </row>
    <row r="6">
      <c r="A6" s="2">
        <v>1050.0</v>
      </c>
      <c r="B6" s="2" t="s">
        <v>511</v>
      </c>
      <c r="C6" s="2" t="s">
        <v>508</v>
      </c>
      <c r="D6" s="50">
        <f>SUMIFS('Trial Balance'!$J$3:$J$61,'Trial Balance'!$A$3:$A$61,A6)-SUMIFS('Trial Balance'!$I$3:$I$61,'Trial Balance'!$A$3:$A$61,A6)</f>
        <v>1149000</v>
      </c>
    </row>
    <row r="7">
      <c r="A7" s="2">
        <v>1051.0</v>
      </c>
      <c r="B7" s="2" t="s">
        <v>517</v>
      </c>
      <c r="C7" s="2" t="s">
        <v>494</v>
      </c>
      <c r="D7" s="50">
        <f>SUMIFS('Trial Balance'!$I$3:$I$61,'Trial Balance'!$A$3:$A$61,A7)-SUMIFS('Trial Balance'!$J$3:$J$61,'Trial Balance'!$A$3:$A$61,A7)</f>
        <v>0</v>
      </c>
    </row>
    <row r="8">
      <c r="A8" s="2">
        <v>1052.0</v>
      </c>
      <c r="B8" s="2" t="s">
        <v>517</v>
      </c>
      <c r="C8" s="2" t="s">
        <v>494</v>
      </c>
      <c r="D8" s="50">
        <f>SUMIFS('Trial Balance'!$I$3:$I$61,'Trial Balance'!$A$3:$A$61,A8)-SUMIFS('Trial Balance'!$J$3:$J$61,'Trial Balance'!$A$3:$A$61,A8)</f>
        <v>0</v>
      </c>
    </row>
    <row r="9">
      <c r="A9" s="2">
        <v>1053.0</v>
      </c>
      <c r="B9" s="2" t="s">
        <v>528</v>
      </c>
      <c r="C9" s="2" t="s">
        <v>494</v>
      </c>
      <c r="D9" s="50">
        <f>SUMIFS('Trial Balance'!$I$3:$I$61,'Trial Balance'!$A$3:$A$61,A9)-SUMIFS('Trial Balance'!$J$3:$J$61,'Trial Balance'!$A$3:$A$61,A9)</f>
        <v>0</v>
      </c>
    </row>
    <row r="10">
      <c r="A10" s="2">
        <v>1054.0</v>
      </c>
      <c r="B10" s="2" t="s">
        <v>533</v>
      </c>
      <c r="C10" s="2" t="s">
        <v>494</v>
      </c>
      <c r="D10" s="50">
        <f>SUMIFS('Trial Balance'!$I$3:$I$61,'Trial Balance'!$A$3:$A$61,A10)-SUMIFS('Trial Balance'!$J$3:$J$61,'Trial Balance'!$A$3:$A$61,A10)</f>
        <v>1235500</v>
      </c>
    </row>
    <row r="11">
      <c r="A11" s="2">
        <v>1055.0</v>
      </c>
      <c r="B11" s="2" t="s">
        <v>543</v>
      </c>
      <c r="C11" s="2" t="s">
        <v>494</v>
      </c>
      <c r="D11" s="50">
        <f>SUMIFS('Trial Balance'!$I$3:$I$61,'Trial Balance'!$A$3:$A$61,A11)-SUMIFS('Trial Balance'!$J$3:$J$61,'Trial Balance'!$A$3:$A$61,A11)</f>
        <v>404650</v>
      </c>
    </row>
    <row r="12">
      <c r="A12" s="2">
        <v>1056.0</v>
      </c>
      <c r="B12" s="2" t="s">
        <v>549</v>
      </c>
      <c r="C12" s="2" t="s">
        <v>494</v>
      </c>
      <c r="D12" s="50">
        <f>SUMIFS('Trial Balance'!$I$3:$I$61,'Trial Balance'!$A$3:$A$61,A12)-SUMIFS('Trial Balance'!$J$3:$J$61,'Trial Balance'!$A$3:$A$61,A12)</f>
        <v>386500</v>
      </c>
    </row>
    <row r="13">
      <c r="A13" s="2">
        <v>1057.0</v>
      </c>
      <c r="B13" s="2" t="s">
        <v>557</v>
      </c>
      <c r="C13" s="2" t="s">
        <v>494</v>
      </c>
      <c r="D13" s="50">
        <f>SUMIFS('Trial Balance'!$I$3:$I$61,'Trial Balance'!$A$3:$A$61,A13)-SUMIFS('Trial Balance'!$J$3:$J$61,'Trial Balance'!$A$3:$A$61,A13)</f>
        <v>10645</v>
      </c>
    </row>
    <row r="14">
      <c r="A14" s="2">
        <v>1058.0</v>
      </c>
      <c r="B14" s="2" t="s">
        <v>562</v>
      </c>
      <c r="C14" s="2" t="s">
        <v>494</v>
      </c>
      <c r="D14" s="50">
        <f>SUMIFS('Trial Balance'!$I$3:$I$61,'Trial Balance'!$A$3:$A$61,A14)-SUMIFS('Trial Balance'!$J$3:$J$61,'Trial Balance'!$A$3:$A$61,A14)</f>
        <v>461550</v>
      </c>
    </row>
    <row r="15">
      <c r="A15" s="2">
        <v>1059.0</v>
      </c>
      <c r="B15" s="2" t="s">
        <v>569</v>
      </c>
      <c r="C15" s="2" t="s">
        <v>494</v>
      </c>
      <c r="D15" s="50">
        <f>SUMIFS('Trial Balance'!$I$3:$I$61,'Trial Balance'!$A$3:$A$61,A15)-SUMIFS('Trial Balance'!$J$3:$J$61,'Trial Balance'!$A$3:$A$61,A15)</f>
        <v>0</v>
      </c>
    </row>
    <row r="16">
      <c r="A16" s="2">
        <v>1060.0</v>
      </c>
      <c r="B16" s="2" t="s">
        <v>575</v>
      </c>
      <c r="C16" s="2" t="s">
        <v>494</v>
      </c>
      <c r="D16" s="50">
        <f>SUMIFS('Trial Balance'!$I$3:$I$61,'Trial Balance'!$A$3:$A$61,A16)-SUMIFS('Trial Balance'!$J$3:$J$61,'Trial Balance'!$A$3:$A$61,A16)</f>
        <v>125000</v>
      </c>
    </row>
    <row r="17">
      <c r="A17" s="2">
        <v>1061.0</v>
      </c>
      <c r="B17" s="2" t="s">
        <v>578</v>
      </c>
      <c r="C17" s="2" t="s">
        <v>494</v>
      </c>
      <c r="D17" s="50">
        <f>SUMIFS('Trial Balance'!$I$3:$I$61,'Trial Balance'!$A$3:$A$61,A17)-SUMIFS('Trial Balance'!$J$3:$J$61,'Trial Balance'!$A$3:$A$61,A17)</f>
        <v>0</v>
      </c>
    </row>
    <row r="18">
      <c r="A18" s="2">
        <v>1062.0</v>
      </c>
      <c r="B18" s="2" t="s">
        <v>583</v>
      </c>
      <c r="C18" s="2" t="s">
        <v>494</v>
      </c>
      <c r="D18" s="50">
        <f>SUMIFS('Trial Balance'!$I$3:$I$61,'Trial Balance'!$A$3:$A$61,A18)-SUMIFS('Trial Balance'!$J$3:$J$61,'Trial Balance'!$A$3:$A$61,A18)</f>
        <v>0</v>
      </c>
    </row>
    <row r="19">
      <c r="A19" s="2">
        <v>1063.0</v>
      </c>
      <c r="B19" s="2" t="s">
        <v>588</v>
      </c>
      <c r="C19" s="2" t="s">
        <v>494</v>
      </c>
      <c r="D19" s="50">
        <f>SUMIFS('Trial Balance'!$I$3:$I$61,'Trial Balance'!$A$3:$A$61,A19)-SUMIFS('Trial Balance'!$J$3:$J$61,'Trial Balance'!$A$3:$A$61,A19)</f>
        <v>0</v>
      </c>
    </row>
    <row r="20">
      <c r="A20" s="2">
        <v>1064.0</v>
      </c>
      <c r="B20" s="2" t="s">
        <v>592</v>
      </c>
      <c r="C20" s="2" t="s">
        <v>494</v>
      </c>
      <c r="D20" s="50">
        <f>SUMIFS('Trial Balance'!$I$3:$I$61,'Trial Balance'!$A$3:$A$61,A20)-SUMIFS('Trial Balance'!$J$3:$J$61,'Trial Balance'!$A$3:$A$61,A20)</f>
        <v>120000</v>
      </c>
    </row>
    <row r="21" ht="15.75" customHeight="1">
      <c r="A21" s="2">
        <v>1065.0</v>
      </c>
      <c r="B21" s="2" t="s">
        <v>596</v>
      </c>
      <c r="C21" s="2" t="s">
        <v>595</v>
      </c>
      <c r="D21" s="50">
        <f>SUMIFS('Trial Balance'!$J$3:$J$61,'Trial Balance'!$A$3:$A$61,A21)-SUMIFS('Trial Balance'!$I$3:$I$61,'Trial Balance'!$A$3:$A$61,A21)</f>
        <v>0</v>
      </c>
    </row>
    <row r="22" ht="15.75" customHeight="1">
      <c r="A22" s="2">
        <v>1066.0</v>
      </c>
      <c r="B22" s="2" t="s">
        <v>605</v>
      </c>
      <c r="C22" s="2" t="s">
        <v>595</v>
      </c>
      <c r="D22" s="50">
        <f>SUMIFS('Trial Balance'!$J$3:$J$61,'Trial Balance'!$A$3:$A$61,A22)-SUMIFS('Trial Balance'!$I$3:$I$61,'Trial Balance'!$A$3:$A$61,A22)</f>
        <v>18450</v>
      </c>
    </row>
    <row r="23" ht="15.75" customHeight="1">
      <c r="A23" s="2">
        <v>1067.0</v>
      </c>
      <c r="B23" s="2" t="s">
        <v>612</v>
      </c>
      <c r="C23" s="2" t="s">
        <v>494</v>
      </c>
      <c r="D23" s="50">
        <f>SUMIFS('Trial Balance'!$I$3:$I$61,'Trial Balance'!$A$3:$A$61,A23)-SUMIFS('Trial Balance'!$J$3:$J$61,'Trial Balance'!$A$3:$A$61,A23)</f>
        <v>0</v>
      </c>
    </row>
    <row r="24" ht="15.75" customHeight="1">
      <c r="A24" s="2">
        <v>1068.0</v>
      </c>
      <c r="B24" s="2" t="s">
        <v>619</v>
      </c>
      <c r="C24" s="2" t="s">
        <v>494</v>
      </c>
      <c r="D24" s="50">
        <f>SUMIFS('Trial Balance'!$I$3:$I$61,'Trial Balance'!$A$3:$A$61,A24)-SUMIFS('Trial Balance'!$J$3:$J$61,'Trial Balance'!$A$3:$A$61,A24)</f>
        <v>0</v>
      </c>
    </row>
    <row r="25" ht="15.75" customHeight="1">
      <c r="A25" s="2">
        <v>1069.0</v>
      </c>
      <c r="B25" s="2" t="s">
        <v>557</v>
      </c>
      <c r="C25" s="2" t="s">
        <v>494</v>
      </c>
      <c r="D25" s="50">
        <f>SUMIFS('Trial Balance'!$I$3:$I$61,'Trial Balance'!$A$3:$A$61,A25)-SUMIFS('Trial Balance'!$J$3:$J$61,'Trial Balance'!$A$3:$A$61,A25)</f>
        <v>0</v>
      </c>
    </row>
    <row r="26" ht="15.75" customHeight="1">
      <c r="A26" s="2"/>
      <c r="B26" s="2"/>
      <c r="C26" s="2"/>
      <c r="D26" s="5"/>
    </row>
    <row r="27" ht="15.75" customHeight="1">
      <c r="A27" s="51" t="s">
        <v>672</v>
      </c>
      <c r="B27" s="52"/>
      <c r="C27" s="52"/>
      <c r="D27" s="53">
        <f>SUMIFS(D4:D25,C4:C25,"Revenue")+SUMIFS(D4:D25,C4:C25,"Income")</f>
        <v>1167450</v>
      </c>
    </row>
    <row r="28" ht="15.75" customHeight="1">
      <c r="A28" s="4" t="s">
        <v>673</v>
      </c>
      <c r="D28" s="54">
        <f>SUMIFS(D4:D25,C4:C25,"Expenses")</f>
        <v>2883845</v>
      </c>
    </row>
    <row r="29" ht="15.75" customHeight="1">
      <c r="A29" s="56" t="s">
        <v>674</v>
      </c>
      <c r="B29" s="57"/>
      <c r="C29" s="57"/>
      <c r="D29" s="58">
        <f>D27-D28</f>
        <v>-1716395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7:C27"/>
    <mergeCell ref="A28:C28"/>
    <mergeCell ref="A29:C2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7.0"/>
    <col customWidth="1" min="3" max="3" width="52.0"/>
    <col customWidth="1" min="4" max="4" width="21.0"/>
    <col customWidth="1" min="5" max="6" width="8.63"/>
  </cols>
  <sheetData>
    <row r="1" ht="30.0" customHeight="1">
      <c r="A1" s="1" t="s">
        <v>675</v>
      </c>
    </row>
    <row r="2">
      <c r="A2" s="2"/>
      <c r="B2" s="2"/>
      <c r="C2" s="2"/>
      <c r="D2" s="2"/>
    </row>
    <row r="3">
      <c r="A3" s="7" t="s">
        <v>676</v>
      </c>
      <c r="B3" s="8" t="s">
        <v>250</v>
      </c>
      <c r="C3" s="8" t="s">
        <v>677</v>
      </c>
      <c r="D3" s="9" t="s">
        <v>664</v>
      </c>
    </row>
    <row r="4">
      <c r="A4" s="2" t="s">
        <v>678</v>
      </c>
      <c r="B4" s="2" t="s">
        <v>280</v>
      </c>
      <c r="C4" s="2" t="s">
        <v>679</v>
      </c>
      <c r="D4" s="50">
        <f>SUMIFS('Transaction Mapping'!$G$3:$G$61,'Transaction Mapping'!$T$3:$T$61,B4)-SUMIFS('Transaction Mapping'!$F$3:$F$61,'Transaction Mapping'!$T$3:$T$61,B4)</f>
        <v>4240150</v>
      </c>
    </row>
    <row r="5">
      <c r="A5" s="2" t="s">
        <v>678</v>
      </c>
      <c r="B5" s="2" t="s">
        <v>300</v>
      </c>
      <c r="C5" s="2" t="s">
        <v>680</v>
      </c>
      <c r="D5" s="50">
        <f>SUMIFS('Transaction Mapping'!$G$3:$G$61,'Transaction Mapping'!$T$3:$T$61,B5)-SUMIFS('Transaction Mapping'!$F$3:$F$61,'Transaction Mapping'!$T$3:$T$61,B5)</f>
        <v>-3713312</v>
      </c>
    </row>
    <row r="6">
      <c r="A6" s="2" t="s">
        <v>681</v>
      </c>
      <c r="B6" s="2" t="s">
        <v>682</v>
      </c>
      <c r="C6" s="2" t="s">
        <v>683</v>
      </c>
      <c r="D6" s="50">
        <f>SUMIFS('Transaction Mapping'!$G$3:$G$61,'Transaction Mapping'!$T$3:$T$61,B6)-SUMIFS('Transaction Mapping'!$F$3:$F$61,'Transaction Mapping'!$T$3:$T$61,B6)</f>
        <v>0</v>
      </c>
    </row>
    <row r="7">
      <c r="A7" s="2" t="s">
        <v>681</v>
      </c>
      <c r="B7" s="2" t="s">
        <v>423</v>
      </c>
      <c r="C7" s="2" t="s">
        <v>684</v>
      </c>
      <c r="D7" s="50">
        <f>SUMIFS('Transaction Mapping'!$G$3:$G$61,'Transaction Mapping'!$T$3:$T$61,B7)-SUMIFS('Transaction Mapping'!$F$3:$F$61,'Transaction Mapping'!$T$3:$T$61,B7)</f>
        <v>-200000</v>
      </c>
    </row>
    <row r="8">
      <c r="A8" s="2" t="s">
        <v>685</v>
      </c>
      <c r="B8" s="2" t="s">
        <v>686</v>
      </c>
      <c r="C8" s="2" t="s">
        <v>687</v>
      </c>
      <c r="D8" s="50">
        <f>SUMIFS('Transaction Mapping'!$G$3:$G$61,'Transaction Mapping'!$T$3:$T$61,B8)-SUMIFS('Transaction Mapping'!$F$3:$F$61,'Transaction Mapping'!$T$3:$T$61,B8)</f>
        <v>0</v>
      </c>
    </row>
    <row r="9">
      <c r="A9" s="2" t="s">
        <v>685</v>
      </c>
      <c r="B9" s="2" t="s">
        <v>688</v>
      </c>
      <c r="C9" s="2" t="s">
        <v>689</v>
      </c>
      <c r="D9" s="50">
        <f>SUMIFS('Transaction Mapping'!$G$3:$G$61,'Transaction Mapping'!$T$3:$T$61,B9)-SUMIFS('Transaction Mapping'!$F$3:$F$61,'Transaction Mapping'!$T$3:$T$61,B9)</f>
        <v>0</v>
      </c>
    </row>
    <row r="10">
      <c r="A10" s="2" t="s">
        <v>385</v>
      </c>
      <c r="B10" s="2" t="s">
        <v>385</v>
      </c>
      <c r="C10" s="2" t="s">
        <v>690</v>
      </c>
      <c r="D10" s="50">
        <f>SUMIFS('Transaction Mapping'!$G$3:$G$61,'Transaction Mapping'!$T$3:$T$61,B10)-SUMIFS('Transaction Mapping'!$F$3:$F$61,'Transaction Mapping'!$T$3:$T$61,B10)</f>
        <v>0</v>
      </c>
    </row>
    <row r="11">
      <c r="A11" s="2"/>
      <c r="B11" s="2"/>
      <c r="C11" s="2"/>
      <c r="D11" s="50"/>
    </row>
    <row r="12">
      <c r="A12" s="51" t="s">
        <v>691</v>
      </c>
      <c r="B12" s="52"/>
      <c r="C12" s="52"/>
      <c r="D12" s="59">
        <f>SUM(D4:D10)</f>
        <v>326838</v>
      </c>
    </row>
    <row r="13">
      <c r="A13" s="4" t="s">
        <v>692</v>
      </c>
      <c r="D13" s="55">
        <f>'HBL Operating Account'!G2+'Meezan Payroll Account'!G2</f>
        <v>3730000</v>
      </c>
    </row>
    <row r="14">
      <c r="A14" s="56" t="s">
        <v>693</v>
      </c>
      <c r="B14" s="57"/>
      <c r="C14" s="57"/>
      <c r="D14" s="60">
        <f>D12+D13</f>
        <v>4056838</v>
      </c>
    </row>
    <row r="15">
      <c r="A15" s="4" t="s">
        <v>694</v>
      </c>
      <c r="D15" s="55">
        <f>SUMIFS('Balance Sheet'!$D$4:$D$40,'Balance Sheet'!$A$4:$A$40,1029)+SUMIFS('Balance Sheet'!$D$4:$D$40,'Balance Sheet'!$A$4:$A$40,1030)</f>
        <v>4056838</v>
      </c>
    </row>
    <row r="16">
      <c r="A16" s="4" t="s">
        <v>695</v>
      </c>
      <c r="D16" s="55">
        <f>D14-D15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12:C12"/>
    <mergeCell ref="A13:C13"/>
    <mergeCell ref="A14:C14"/>
    <mergeCell ref="A15:C15"/>
    <mergeCell ref="A16:C1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2.0"/>
    <col customWidth="1" min="2" max="5" width="18.0"/>
    <col customWidth="1" min="6" max="6" width="14.0"/>
    <col customWidth="1" min="7" max="7" width="35.0"/>
  </cols>
  <sheetData>
    <row r="1" ht="30.0" customHeight="1">
      <c r="A1" s="1" t="s">
        <v>696</v>
      </c>
    </row>
    <row r="2">
      <c r="A2" s="2"/>
      <c r="B2" s="2"/>
      <c r="C2" s="2"/>
      <c r="D2" s="2"/>
      <c r="E2" s="2"/>
      <c r="F2" s="2"/>
      <c r="G2" s="2"/>
    </row>
    <row r="3">
      <c r="A3" s="7" t="s">
        <v>697</v>
      </c>
      <c r="B3" s="8" t="s">
        <v>698</v>
      </c>
      <c r="C3" s="8" t="s">
        <v>699</v>
      </c>
      <c r="D3" s="8" t="s">
        <v>700</v>
      </c>
      <c r="E3" s="8" t="s">
        <v>701</v>
      </c>
      <c r="F3" s="8" t="s">
        <v>702</v>
      </c>
      <c r="G3" s="9" t="s">
        <v>703</v>
      </c>
    </row>
    <row r="4">
      <c r="A4" s="2" t="s">
        <v>704</v>
      </c>
      <c r="B4" s="50">
        <f>SUM('Journal Entries'!H3:H135)</f>
        <v>19173462</v>
      </c>
      <c r="C4" s="50">
        <f>SUM('Journal Entries'!I3:I135)</f>
        <v>19173462</v>
      </c>
      <c r="D4" s="50">
        <f t="shared" ref="D4:D12" si="1">B4-C4</f>
        <v>0</v>
      </c>
      <c r="E4" s="5">
        <v>1.0</v>
      </c>
      <c r="F4" s="2" t="str">
        <f t="shared" ref="F4:F12" si="2">IF(ABS(D4)&lt;=E4,"PASS","FAIL")</f>
        <v>PASS</v>
      </c>
      <c r="G4" s="2" t="s">
        <v>56</v>
      </c>
    </row>
    <row r="5">
      <c r="A5" s="2" t="s">
        <v>705</v>
      </c>
      <c r="B5" s="50">
        <f>'Trial Balance'!I62</f>
        <v>8351101</v>
      </c>
      <c r="C5" s="50">
        <f>'Trial Balance'!J62</f>
        <v>8812800</v>
      </c>
      <c r="D5" s="50">
        <f t="shared" si="1"/>
        <v>-461699</v>
      </c>
      <c r="E5" s="5">
        <v>1.0</v>
      </c>
      <c r="F5" s="2" t="str">
        <f t="shared" si="2"/>
        <v>FAIL</v>
      </c>
      <c r="G5" s="2" t="s">
        <v>706</v>
      </c>
    </row>
    <row r="6">
      <c r="A6" s="2" t="s">
        <v>707</v>
      </c>
      <c r="B6" s="50">
        <f>SUMIFS('Trial Balance'!I3:I61,'Trial Balance'!A3:A61,1029)-SUMIFS('Trial Balance'!J3:J61,'Trial Balance'!A3:A61,1029)</f>
        <v>3997926</v>
      </c>
      <c r="C6" s="50">
        <f>'HBL Operating Account'!G5</f>
        <v>3997926</v>
      </c>
      <c r="D6" s="50">
        <f t="shared" si="1"/>
        <v>0</v>
      </c>
      <c r="E6" s="5">
        <v>1.0</v>
      </c>
      <c r="F6" s="2" t="str">
        <f t="shared" si="2"/>
        <v>PASS</v>
      </c>
      <c r="G6" s="2" t="s">
        <v>708</v>
      </c>
    </row>
    <row r="7">
      <c r="A7" s="2" t="s">
        <v>709</v>
      </c>
      <c r="B7" s="50">
        <f>SUMIFS('Trial Balance'!I3:I61,'Trial Balance'!A3:A61,1030)-SUMIFS('Trial Balance'!J3:J61,'Trial Balance'!A3:A61,1030)</f>
        <v>58912</v>
      </c>
      <c r="C7" s="50">
        <f>'Meezan Payroll Account'!G5</f>
        <v>58912</v>
      </c>
      <c r="D7" s="50">
        <f t="shared" si="1"/>
        <v>0</v>
      </c>
      <c r="E7" s="5">
        <v>1.0</v>
      </c>
      <c r="F7" s="2" t="str">
        <f t="shared" si="2"/>
        <v>PASS</v>
      </c>
      <c r="G7" s="2" t="s">
        <v>710</v>
      </c>
    </row>
    <row r="8">
      <c r="A8" s="2" t="s">
        <v>711</v>
      </c>
      <c r="B8" s="50">
        <f>'Balance Sheet'!D42</f>
        <v>5343906</v>
      </c>
      <c r="C8" s="50">
        <f>'Balance Sheet'!D46</f>
        <v>5805605</v>
      </c>
      <c r="D8" s="50">
        <f t="shared" si="1"/>
        <v>-461699</v>
      </c>
      <c r="E8" s="5">
        <v>1.0</v>
      </c>
      <c r="F8" s="2" t="str">
        <f t="shared" si="2"/>
        <v>FAIL</v>
      </c>
      <c r="G8" s="2" t="s">
        <v>712</v>
      </c>
    </row>
    <row r="9">
      <c r="A9" s="2" t="s">
        <v>713</v>
      </c>
      <c r="B9" s="50">
        <f>'Cash Flow Statement'!D14</f>
        <v>4056838</v>
      </c>
      <c r="C9" s="50">
        <f>'Cash Flow Statement'!D15</f>
        <v>4056838</v>
      </c>
      <c r="D9" s="50">
        <f t="shared" si="1"/>
        <v>0</v>
      </c>
      <c r="E9" s="5">
        <v>1.0</v>
      </c>
      <c r="F9" s="2" t="str">
        <f t="shared" si="2"/>
        <v>PASS</v>
      </c>
      <c r="G9" s="2" t="s">
        <v>714</v>
      </c>
    </row>
    <row r="10">
      <c r="A10" s="2" t="s">
        <v>35</v>
      </c>
      <c r="B10" s="50">
        <f>COUNTIF('Transaction Mapping'!L3:L61,"GL not found")+COUNTIF('Transaction Mapping'!N3:N61,"GL not found")+COUNTIF('Non-Bank Entries'!E3:E9,"GL not found")+COUNTIF('Non-Bank Entries'!G3:G9,"GL not found")</f>
        <v>132</v>
      </c>
      <c r="C10" s="50">
        <f>0</f>
        <v>0</v>
      </c>
      <c r="D10" s="50">
        <f t="shared" si="1"/>
        <v>132</v>
      </c>
      <c r="E10" s="5">
        <v>1.0</v>
      </c>
      <c r="F10" s="2" t="str">
        <f t="shared" si="2"/>
        <v>FAIL</v>
      </c>
      <c r="G10" s="2" t="s">
        <v>715</v>
      </c>
    </row>
    <row r="11">
      <c r="A11" s="2" t="s">
        <v>716</v>
      </c>
      <c r="B11" s="50">
        <f>COUNTIF('Transaction Mapping'!Q3:Q61,"Approved")</f>
        <v>59</v>
      </c>
      <c r="C11" s="50">
        <f>ROWS('Transaction Mapping'!Q3:Q61)</f>
        <v>59</v>
      </c>
      <c r="D11" s="50">
        <f t="shared" si="1"/>
        <v>0</v>
      </c>
      <c r="E11" s="5">
        <v>1.0</v>
      </c>
      <c r="F11" s="2" t="str">
        <f t="shared" si="2"/>
        <v>PASS</v>
      </c>
      <c r="G11" s="2" t="s">
        <v>38</v>
      </c>
    </row>
    <row r="12">
      <c r="A12" s="2" t="s">
        <v>717</v>
      </c>
      <c r="B12" s="50">
        <f>COUNTIF('Transaction Mapping'!R3:R61,"TRF-0707")+COUNTIF('Transaction Mapping'!R3:R61,"TRF-0721")</f>
        <v>4</v>
      </c>
      <c r="C12" s="50">
        <f>4</f>
        <v>4</v>
      </c>
      <c r="D12" s="50">
        <f t="shared" si="1"/>
        <v>0</v>
      </c>
      <c r="E12" s="5">
        <v>1.0</v>
      </c>
      <c r="F12" s="2" t="str">
        <f t="shared" si="2"/>
        <v>PASS</v>
      </c>
      <c r="G12" s="2" t="s">
        <v>718</v>
      </c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61" t="s">
        <v>719</v>
      </c>
      <c r="B15" s="62"/>
      <c r="C15" s="62"/>
      <c r="D15" s="62"/>
      <c r="E15" s="62"/>
      <c r="F15" s="63" t="str">
        <f>IF(COUNTIF(F4:F12,"FAIL")=0,"PASS","FAIL")</f>
        <v>FAIL</v>
      </c>
      <c r="G15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15:E15"/>
    <mergeCell ref="F15:G15"/>
  </mergeCells>
  <conditionalFormatting sqref="F4:F12">
    <cfRule type="containsText" dxfId="5" priority="1" operator="containsText" text="PASS">
      <formula>NOT(ISERROR(SEARCH(("PASS"),(F4))))</formula>
    </cfRule>
  </conditionalFormatting>
  <conditionalFormatting sqref="F4:F12">
    <cfRule type="containsText" dxfId="6" priority="2" operator="containsText" text="FAIL">
      <formula>NOT(ISERROR(SEARCH(("FAIL"),(F4))))</formula>
    </cfRule>
  </conditionalFormatting>
  <conditionalFormatting sqref="F15">
    <cfRule type="containsText" dxfId="5" priority="3" operator="containsText" text="PASS">
      <formula>NOT(ISERROR(SEARCH(("PASS"),(F15))))</formula>
    </cfRule>
  </conditionalFormatting>
  <conditionalFormatting sqref="F15">
    <cfRule type="containsText" dxfId="6" priority="4" operator="containsText" text="FAIL">
      <formula>NOT(ISERROR(SEARCH(("FAIL"),(F15))))</formula>
    </cfRule>
  </conditionalFormatting>
  <printOptions/>
  <pageMargins bottom="0.75" footer="0.0" header="0.0" left="0.7" right="0.7" top="0.75"/>
  <pageSetup orientation="landscape"/>
  <drawing r:id="rId1"/>
</worksheet>
</file>